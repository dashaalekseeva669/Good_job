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4 курс\майка\"/>
    </mc:Choice>
  </mc:AlternateContent>
  <bookViews>
    <workbookView xWindow="360" yWindow="80" windowWidth="20880" windowHeight="10050"/>
  </bookViews>
  <sheets>
    <sheet name="Лист1" sheetId="1" r:id="rId1"/>
    <sheet name="Лист2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V5" i="1" l="1"/>
  <c r="V6" i="1"/>
  <c r="C6" i="1"/>
  <c r="B7" i="1" s="1"/>
  <c r="C7" i="1" s="1"/>
  <c r="B8" i="1" s="1"/>
  <c r="C8" i="1" s="1"/>
  <c r="B9" i="1" s="1"/>
  <c r="C9" i="1" s="1"/>
  <c r="B10" i="1" s="1"/>
  <c r="C10" i="1" s="1"/>
  <c r="B11" i="1" s="1"/>
  <c r="C11" i="1" s="1"/>
  <c r="B12" i="1" s="1"/>
  <c r="C12" i="1" s="1"/>
  <c r="D11" i="1" l="1"/>
  <c r="D10" i="1"/>
  <c r="B13" i="1"/>
  <c r="C13" i="1" s="1"/>
  <c r="D12" i="1"/>
  <c r="D8" i="1"/>
  <c r="D7" i="1"/>
  <c r="D9" i="1"/>
  <c r="D6" i="1"/>
  <c r="Q6" i="1" l="1"/>
  <c r="L6" i="1"/>
  <c r="G6" i="1"/>
  <c r="Q9" i="1"/>
  <c r="G9" i="1"/>
  <c r="L9" i="1"/>
  <c r="Q7" i="1"/>
  <c r="L7" i="1"/>
  <c r="G7" i="1"/>
  <c r="Q8" i="1"/>
  <c r="L8" i="1"/>
  <c r="G8" i="1"/>
  <c r="B14" i="1"/>
  <c r="C14" i="1" s="1"/>
  <c r="D13" i="1"/>
  <c r="Q12" i="1"/>
  <c r="L12" i="1"/>
  <c r="G12" i="1"/>
  <c r="Q10" i="1"/>
  <c r="G10" i="1"/>
  <c r="L10" i="1"/>
  <c r="Q11" i="1"/>
  <c r="G11" i="1"/>
  <c r="L11" i="1"/>
  <c r="B15" i="1" l="1"/>
  <c r="C15" i="1" s="1"/>
  <c r="D14" i="1"/>
  <c r="Q13" i="1"/>
  <c r="G13" i="1"/>
  <c r="L13" i="1"/>
  <c r="Q14" i="1" l="1"/>
  <c r="L14" i="1"/>
  <c r="G14" i="1"/>
  <c r="B16" i="1"/>
  <c r="C16" i="1" s="1"/>
  <c r="D15" i="1"/>
  <c r="Q15" i="1" l="1"/>
  <c r="L15" i="1"/>
  <c r="G15" i="1"/>
  <c r="B17" i="1"/>
  <c r="C17" i="1" s="1"/>
  <c r="D16" i="1"/>
  <c r="G16" i="1" l="1"/>
  <c r="L16" i="1"/>
  <c r="Q16" i="1"/>
  <c r="B18" i="1"/>
  <c r="C18" i="1" s="1"/>
  <c r="D17" i="1"/>
  <c r="G17" i="1" l="1"/>
  <c r="L17" i="1"/>
  <c r="Q17" i="1"/>
  <c r="B19" i="1"/>
  <c r="C19" i="1" s="1"/>
  <c r="D18" i="1"/>
  <c r="G18" i="1" l="1"/>
  <c r="L18" i="1"/>
  <c r="Q18" i="1"/>
  <c r="B20" i="1"/>
  <c r="C20" i="1" s="1"/>
  <c r="D19" i="1"/>
  <c r="L19" i="1" l="1"/>
  <c r="G19" i="1"/>
  <c r="Q19" i="1"/>
  <c r="B21" i="1"/>
  <c r="C21" i="1" s="1"/>
  <c r="D20" i="1"/>
  <c r="L20" i="1" l="1"/>
  <c r="G20" i="1"/>
  <c r="Q20" i="1"/>
  <c r="B22" i="1"/>
  <c r="C22" i="1" s="1"/>
  <c r="D21" i="1"/>
  <c r="G21" i="1" l="1"/>
  <c r="L21" i="1"/>
  <c r="Q21" i="1"/>
  <c r="B23" i="1"/>
  <c r="C23" i="1" s="1"/>
  <c r="D22" i="1"/>
  <c r="L22" i="1" l="1"/>
  <c r="G22" i="1"/>
  <c r="Q22" i="1"/>
  <c r="B24" i="1"/>
  <c r="C24" i="1" s="1"/>
  <c r="D23" i="1"/>
  <c r="Q23" i="1" l="1"/>
  <c r="L23" i="1"/>
  <c r="G23" i="1"/>
  <c r="B25" i="1"/>
  <c r="C25" i="1" s="1"/>
  <c r="D24" i="1"/>
  <c r="Q24" i="1" l="1"/>
  <c r="L24" i="1"/>
  <c r="G24" i="1"/>
  <c r="B26" i="1"/>
  <c r="C26" i="1" s="1"/>
  <c r="D25" i="1"/>
  <c r="Q25" i="1" l="1"/>
  <c r="G25" i="1"/>
  <c r="L25" i="1"/>
  <c r="B27" i="1"/>
  <c r="C27" i="1" s="1"/>
  <c r="D26" i="1"/>
  <c r="Q26" i="1" l="1"/>
  <c r="G26" i="1"/>
  <c r="L26" i="1"/>
  <c r="B28" i="1"/>
  <c r="C28" i="1" s="1"/>
  <c r="D27" i="1"/>
  <c r="Q27" i="1" l="1"/>
  <c r="G27" i="1"/>
  <c r="L27" i="1"/>
  <c r="B29" i="1"/>
  <c r="C29" i="1" s="1"/>
  <c r="D28" i="1"/>
  <c r="Q28" i="1" l="1"/>
  <c r="G28" i="1"/>
  <c r="L28" i="1"/>
  <c r="B30" i="1"/>
  <c r="C30" i="1" s="1"/>
  <c r="D29" i="1"/>
  <c r="Q29" i="1" l="1"/>
  <c r="G29" i="1"/>
  <c r="L29" i="1"/>
  <c r="B31" i="1"/>
  <c r="C31" i="1" s="1"/>
  <c r="D30" i="1"/>
  <c r="L30" i="1" l="1"/>
  <c r="G30" i="1"/>
  <c r="Q30" i="1"/>
  <c r="B32" i="1"/>
  <c r="C32" i="1" s="1"/>
  <c r="D31" i="1"/>
  <c r="G31" i="1" l="1"/>
  <c r="L31" i="1"/>
  <c r="Q31" i="1"/>
  <c r="B33" i="1"/>
  <c r="C33" i="1" s="1"/>
  <c r="D32" i="1"/>
  <c r="G32" i="1" l="1"/>
  <c r="L32" i="1"/>
  <c r="Q32" i="1"/>
  <c r="B34" i="1"/>
  <c r="C34" i="1" s="1"/>
  <c r="D33" i="1"/>
  <c r="G33" i="1" l="1"/>
  <c r="L33" i="1"/>
  <c r="Q33" i="1"/>
  <c r="B35" i="1"/>
  <c r="C35" i="1" s="1"/>
  <c r="D34" i="1"/>
  <c r="G34" i="1" l="1"/>
  <c r="L34" i="1"/>
  <c r="Q34" i="1"/>
  <c r="B36" i="1"/>
  <c r="C36" i="1" s="1"/>
  <c r="D35" i="1"/>
  <c r="L35" i="1" l="1"/>
  <c r="G35" i="1"/>
  <c r="Q35" i="1"/>
  <c r="B37" i="1"/>
  <c r="C37" i="1" s="1"/>
  <c r="D36" i="1"/>
  <c r="L36" i="1" l="1"/>
  <c r="G36" i="1"/>
  <c r="Q36" i="1"/>
  <c r="B38" i="1"/>
  <c r="C38" i="1" s="1"/>
  <c r="D37" i="1"/>
  <c r="L37" i="1" l="1"/>
  <c r="G37" i="1"/>
  <c r="Q37" i="1"/>
  <c r="B39" i="1"/>
  <c r="C39" i="1" s="1"/>
  <c r="D38" i="1"/>
  <c r="L38" i="1" l="1"/>
  <c r="Q38" i="1"/>
  <c r="G38" i="1"/>
  <c r="B40" i="1"/>
  <c r="C40" i="1" s="1"/>
  <c r="D39" i="1"/>
  <c r="Q39" i="1" l="1"/>
  <c r="L39" i="1"/>
  <c r="G39" i="1"/>
  <c r="B41" i="1"/>
  <c r="C41" i="1" s="1"/>
  <c r="D40" i="1"/>
  <c r="Q40" i="1" l="1"/>
  <c r="L40" i="1"/>
  <c r="G40" i="1"/>
  <c r="B42" i="1"/>
  <c r="C42" i="1" s="1"/>
  <c r="D41" i="1"/>
  <c r="Q41" i="1" l="1"/>
  <c r="G41" i="1"/>
  <c r="L41" i="1"/>
  <c r="B43" i="1"/>
  <c r="C43" i="1" s="1"/>
  <c r="D42" i="1"/>
  <c r="Q42" i="1" l="1"/>
  <c r="G42" i="1"/>
  <c r="L42" i="1"/>
  <c r="B44" i="1"/>
  <c r="C44" i="1" s="1"/>
  <c r="D43" i="1"/>
  <c r="Q43" i="1" l="1"/>
  <c r="G43" i="1"/>
  <c r="L43" i="1"/>
  <c r="B45" i="1"/>
  <c r="C45" i="1" s="1"/>
  <c r="D44" i="1"/>
  <c r="Q44" i="1" l="1"/>
  <c r="G44" i="1"/>
  <c r="L44" i="1"/>
  <c r="B46" i="1"/>
  <c r="C46" i="1" s="1"/>
  <c r="D45" i="1"/>
  <c r="Q45" i="1" l="1"/>
  <c r="L45" i="1"/>
  <c r="G45" i="1"/>
  <c r="B47" i="1"/>
  <c r="C47" i="1" s="1"/>
  <c r="D46" i="1"/>
  <c r="G46" i="1" l="1"/>
  <c r="L46" i="1"/>
  <c r="Q46" i="1"/>
  <c r="B48" i="1"/>
  <c r="C48" i="1" s="1"/>
  <c r="D47" i="1"/>
  <c r="G47" i="1" l="1"/>
  <c r="L47" i="1"/>
  <c r="Q47" i="1"/>
  <c r="B49" i="1"/>
  <c r="C49" i="1" s="1"/>
  <c r="D48" i="1"/>
  <c r="G48" i="1" l="1"/>
  <c r="L48" i="1"/>
  <c r="Q48" i="1"/>
  <c r="B50" i="1"/>
  <c r="C50" i="1" s="1"/>
  <c r="D49" i="1"/>
  <c r="G49" i="1" l="1"/>
  <c r="L49" i="1"/>
  <c r="Q49" i="1"/>
  <c r="B51" i="1"/>
  <c r="C51" i="1" s="1"/>
  <c r="D50" i="1"/>
  <c r="G50" i="1" l="1"/>
  <c r="L50" i="1"/>
  <c r="Q50" i="1"/>
  <c r="B52" i="1"/>
  <c r="C52" i="1" s="1"/>
  <c r="D51" i="1"/>
  <c r="L51" i="1" l="1"/>
  <c r="G51" i="1"/>
  <c r="Q51" i="1"/>
  <c r="B53" i="1"/>
  <c r="C53" i="1" s="1"/>
  <c r="D52" i="1"/>
  <c r="L52" i="1" l="1"/>
  <c r="G52" i="1"/>
  <c r="Q52" i="1"/>
  <c r="B54" i="1"/>
  <c r="C54" i="1" s="1"/>
  <c r="D53" i="1"/>
  <c r="G53" i="1" l="1"/>
  <c r="L53" i="1"/>
  <c r="Q53" i="1"/>
  <c r="B55" i="1"/>
  <c r="C55" i="1" s="1"/>
  <c r="D54" i="1"/>
  <c r="L54" i="1" l="1"/>
  <c r="G54" i="1"/>
  <c r="Q54" i="1"/>
  <c r="B56" i="1"/>
  <c r="C56" i="1" s="1"/>
  <c r="D55" i="1"/>
  <c r="Q55" i="1" l="1"/>
  <c r="L55" i="1"/>
  <c r="G55" i="1"/>
  <c r="B57" i="1"/>
  <c r="C57" i="1" s="1"/>
  <c r="D56" i="1"/>
  <c r="Q56" i="1" l="1"/>
  <c r="L56" i="1"/>
  <c r="G56" i="1"/>
  <c r="B58" i="1"/>
  <c r="C58" i="1" s="1"/>
  <c r="D57" i="1"/>
  <c r="Q57" i="1" l="1"/>
  <c r="G57" i="1"/>
  <c r="L57" i="1"/>
  <c r="B59" i="1"/>
  <c r="C59" i="1" s="1"/>
  <c r="D58" i="1"/>
  <c r="Q58" i="1" l="1"/>
  <c r="G58" i="1"/>
  <c r="L58" i="1"/>
  <c r="B60" i="1"/>
  <c r="C60" i="1" s="1"/>
  <c r="D59" i="1"/>
  <c r="Q59" i="1" l="1"/>
  <c r="G59" i="1"/>
  <c r="L59" i="1"/>
  <c r="B61" i="1"/>
  <c r="C61" i="1" s="1"/>
  <c r="D60" i="1"/>
  <c r="Q60" i="1" l="1"/>
  <c r="G60" i="1"/>
  <c r="L60" i="1"/>
  <c r="B62" i="1"/>
  <c r="C62" i="1" s="1"/>
  <c r="D61" i="1"/>
  <c r="Q61" i="1" l="1"/>
  <c r="G61" i="1"/>
  <c r="L61" i="1"/>
  <c r="B63" i="1"/>
  <c r="C63" i="1" s="1"/>
  <c r="D62" i="1"/>
  <c r="L62" i="1" l="1"/>
  <c r="Q62" i="1"/>
  <c r="G62" i="1"/>
  <c r="B64" i="1"/>
  <c r="C64" i="1" s="1"/>
  <c r="D63" i="1"/>
  <c r="Q63" i="1" l="1"/>
  <c r="L63" i="1"/>
  <c r="G63" i="1"/>
  <c r="B65" i="1"/>
  <c r="C65" i="1" s="1"/>
  <c r="D64" i="1"/>
  <c r="B66" i="1" l="1"/>
  <c r="C66" i="1" s="1"/>
  <c r="D65" i="1"/>
  <c r="G64" i="1"/>
  <c r="Q64" i="1"/>
  <c r="L64" i="1"/>
  <c r="B67" i="1" l="1"/>
  <c r="C67" i="1" s="1"/>
  <c r="D66" i="1"/>
  <c r="G65" i="1"/>
  <c r="Q65" i="1"/>
  <c r="L65" i="1"/>
  <c r="G66" i="1" l="1"/>
  <c r="Q66" i="1"/>
  <c r="L66" i="1"/>
  <c r="B68" i="1"/>
  <c r="C68" i="1" s="1"/>
  <c r="D67" i="1"/>
  <c r="L67" i="1" l="1"/>
  <c r="G67" i="1"/>
  <c r="Q67" i="1"/>
  <c r="B69" i="1"/>
  <c r="C69" i="1" s="1"/>
  <c r="D68" i="1"/>
  <c r="B70" i="1" l="1"/>
  <c r="C70" i="1" s="1"/>
  <c r="D69" i="1"/>
  <c r="L68" i="1"/>
  <c r="G68" i="1"/>
  <c r="Q68" i="1"/>
  <c r="L69" i="1" l="1"/>
  <c r="G69" i="1"/>
  <c r="Q69" i="1"/>
  <c r="B71" i="1"/>
  <c r="C71" i="1" s="1"/>
  <c r="D70" i="1"/>
  <c r="B72" i="1" l="1"/>
  <c r="C72" i="1" s="1"/>
  <c r="D71" i="1"/>
  <c r="L70" i="1"/>
  <c r="Q70" i="1"/>
  <c r="G70" i="1"/>
  <c r="Q71" i="1" l="1"/>
  <c r="L71" i="1"/>
  <c r="G71" i="1"/>
  <c r="B73" i="1"/>
  <c r="C73" i="1" s="1"/>
  <c r="D72" i="1"/>
  <c r="Q72" i="1" l="1"/>
  <c r="L72" i="1"/>
  <c r="G72" i="1"/>
  <c r="B74" i="1"/>
  <c r="C74" i="1" s="1"/>
  <c r="D73" i="1"/>
  <c r="Q73" i="1" l="1"/>
  <c r="L73" i="1"/>
  <c r="G73" i="1"/>
  <c r="B75" i="1"/>
  <c r="C75" i="1" s="1"/>
  <c r="D74" i="1"/>
  <c r="Q74" i="1" l="1"/>
  <c r="G74" i="1"/>
  <c r="L74" i="1"/>
  <c r="B76" i="1"/>
  <c r="C76" i="1" s="1"/>
  <c r="D75" i="1"/>
  <c r="Q75" i="1" l="1"/>
  <c r="G75" i="1"/>
  <c r="L75" i="1"/>
  <c r="B77" i="1"/>
  <c r="C77" i="1" s="1"/>
  <c r="D76" i="1"/>
  <c r="Q76" i="1" l="1"/>
  <c r="L76" i="1"/>
  <c r="G76" i="1"/>
  <c r="B78" i="1"/>
  <c r="C78" i="1" s="1"/>
  <c r="D77" i="1"/>
  <c r="Q77" i="1" l="1"/>
  <c r="G77" i="1"/>
  <c r="L77" i="1"/>
  <c r="B79" i="1"/>
  <c r="C79" i="1" s="1"/>
  <c r="D78" i="1"/>
  <c r="G78" i="1" l="1"/>
  <c r="L78" i="1"/>
  <c r="Q78" i="1"/>
  <c r="B80" i="1"/>
  <c r="C80" i="1" s="1"/>
  <c r="D79" i="1"/>
  <c r="G79" i="1" l="1"/>
  <c r="Q79" i="1"/>
  <c r="L79" i="1"/>
  <c r="B81" i="1"/>
  <c r="C81" i="1" s="1"/>
  <c r="D80" i="1"/>
  <c r="G80" i="1" l="1"/>
  <c r="L80" i="1"/>
  <c r="Q80" i="1"/>
  <c r="B82" i="1"/>
  <c r="C82" i="1" s="1"/>
  <c r="D81" i="1"/>
  <c r="G81" i="1" l="1"/>
  <c r="L81" i="1"/>
  <c r="Q81" i="1"/>
  <c r="B83" i="1"/>
  <c r="C83" i="1" s="1"/>
  <c r="D82" i="1"/>
  <c r="G82" i="1" l="1"/>
  <c r="L82" i="1"/>
  <c r="Q82" i="1"/>
  <c r="B84" i="1"/>
  <c r="C84" i="1" s="1"/>
  <c r="D83" i="1"/>
  <c r="L83" i="1" l="1"/>
  <c r="G83" i="1"/>
  <c r="Q83" i="1"/>
  <c r="B85" i="1"/>
  <c r="C85" i="1" s="1"/>
  <c r="D84" i="1"/>
  <c r="L84" i="1" l="1"/>
  <c r="G84" i="1"/>
  <c r="Q84" i="1"/>
  <c r="B86" i="1"/>
  <c r="C86" i="1" s="1"/>
  <c r="D85" i="1"/>
  <c r="G85" i="1" l="1"/>
  <c r="L85" i="1"/>
  <c r="Q85" i="1"/>
  <c r="B87" i="1"/>
  <c r="C87" i="1" s="1"/>
  <c r="D86" i="1"/>
  <c r="L86" i="1" l="1"/>
  <c r="Q86" i="1"/>
  <c r="G86" i="1"/>
  <c r="B88" i="1"/>
  <c r="C88" i="1" s="1"/>
  <c r="D87" i="1"/>
  <c r="Q87" i="1" l="1"/>
  <c r="L87" i="1"/>
  <c r="G87" i="1"/>
  <c r="B89" i="1"/>
  <c r="C89" i="1" s="1"/>
  <c r="D88" i="1"/>
  <c r="Q88" i="1" l="1"/>
  <c r="L88" i="1"/>
  <c r="G88" i="1"/>
  <c r="B90" i="1"/>
  <c r="C90" i="1" s="1"/>
  <c r="D89" i="1"/>
  <c r="Q89" i="1" l="1"/>
  <c r="G89" i="1"/>
  <c r="L89" i="1"/>
  <c r="B91" i="1"/>
  <c r="C91" i="1" s="1"/>
  <c r="D90" i="1"/>
  <c r="Q90" i="1" l="1"/>
  <c r="G90" i="1"/>
  <c r="L90" i="1"/>
  <c r="B92" i="1"/>
  <c r="C92" i="1" s="1"/>
  <c r="D91" i="1"/>
  <c r="Q91" i="1" l="1"/>
  <c r="L91" i="1"/>
  <c r="G91" i="1"/>
  <c r="B93" i="1"/>
  <c r="C93" i="1" s="1"/>
  <c r="D92" i="1"/>
  <c r="Q92" i="1" l="1"/>
  <c r="L92" i="1"/>
  <c r="G92" i="1"/>
  <c r="B94" i="1"/>
  <c r="C94" i="1" s="1"/>
  <c r="D93" i="1"/>
  <c r="Q93" i="1" l="1"/>
  <c r="L93" i="1"/>
  <c r="G93" i="1"/>
  <c r="B95" i="1"/>
  <c r="C95" i="1" s="1"/>
  <c r="D94" i="1"/>
  <c r="Q94" i="1" l="1"/>
  <c r="L94" i="1"/>
  <c r="G94" i="1"/>
  <c r="B96" i="1"/>
  <c r="C96" i="1" s="1"/>
  <c r="D95" i="1"/>
  <c r="Q95" i="1" l="1"/>
  <c r="L95" i="1"/>
  <c r="G95" i="1"/>
  <c r="B97" i="1"/>
  <c r="C97" i="1" s="1"/>
  <c r="D96" i="1"/>
  <c r="G96" i="1" l="1"/>
  <c r="Q96" i="1"/>
  <c r="L96" i="1"/>
  <c r="B98" i="1"/>
  <c r="C98" i="1" s="1"/>
  <c r="D97" i="1"/>
  <c r="G97" i="1" l="1"/>
  <c r="Q97" i="1"/>
  <c r="L97" i="1"/>
  <c r="B99" i="1"/>
  <c r="C99" i="1" s="1"/>
  <c r="D98" i="1"/>
  <c r="G98" i="1" l="1"/>
  <c r="L98" i="1"/>
  <c r="Q98" i="1"/>
  <c r="B100" i="1"/>
  <c r="C100" i="1" s="1"/>
  <c r="D99" i="1"/>
  <c r="L99" i="1" l="1"/>
  <c r="G99" i="1"/>
  <c r="Q99" i="1"/>
  <c r="B101" i="1"/>
  <c r="C101" i="1" s="1"/>
  <c r="D100" i="1"/>
  <c r="L100" i="1" l="1"/>
  <c r="G100" i="1"/>
  <c r="Q100" i="1"/>
  <c r="B102" i="1"/>
  <c r="C102" i="1" s="1"/>
  <c r="D101" i="1"/>
  <c r="L101" i="1" l="1"/>
  <c r="G101" i="1"/>
  <c r="Q101" i="1"/>
  <c r="B103" i="1"/>
  <c r="C103" i="1" s="1"/>
  <c r="D102" i="1"/>
  <c r="L102" i="1" l="1"/>
  <c r="G102" i="1"/>
  <c r="Q102" i="1"/>
  <c r="B104" i="1"/>
  <c r="C104" i="1" s="1"/>
  <c r="D103" i="1"/>
  <c r="Q103" i="1" l="1"/>
  <c r="L103" i="1"/>
  <c r="G103" i="1"/>
  <c r="B105" i="1"/>
  <c r="C105" i="1" s="1"/>
  <c r="D105" i="1" s="1"/>
  <c r="D104" i="1"/>
  <c r="Q104" i="1" l="1"/>
  <c r="L104" i="1"/>
  <c r="G104" i="1"/>
  <c r="Q105" i="1"/>
  <c r="G105" i="1"/>
  <c r="L105" i="1"/>
</calcChain>
</file>

<file path=xl/sharedStrings.xml><?xml version="1.0" encoding="utf-8"?>
<sst xmlns="http://schemas.openxmlformats.org/spreadsheetml/2006/main" count="14" uniqueCount="14">
  <si>
    <t>A=</t>
  </si>
  <si>
    <t>B=</t>
  </si>
  <si>
    <t>M=</t>
  </si>
  <si>
    <t>№</t>
  </si>
  <si>
    <t>Y</t>
  </si>
  <si>
    <t>Zi</t>
  </si>
  <si>
    <t>Yi-1</t>
  </si>
  <si>
    <t xml:space="preserve">Рапределение по равномерному закону </t>
  </si>
  <si>
    <t xml:space="preserve">Распределение по показательному закону </t>
  </si>
  <si>
    <t>Распределение по закону Релея</t>
  </si>
  <si>
    <t>верояьностей сл событий</t>
  </si>
  <si>
    <t>описания и предск</t>
  </si>
  <si>
    <t>мат ожидание</t>
  </si>
  <si>
    <t>дисперсия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</si>
</sst>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5"/>
  <sheetViews>
    <sheetView tabSelected="1" topLeftCell="C1" workbookViewId="0">
      <selection activeCell="V3" sqref="V3"/>
    </sheetView>
  </sheetViews>
  <sheetFormatPr defaultRowHeight="14.5" x14ac:dyDescent="0.35"/>
  <sheetData>
    <row r="1" spans="1:22" x14ac:dyDescent="0.35">
      <c r="P1" t="s">
        <v>11</v>
      </c>
      <c r="R1" t="s">
        <v>10</v>
      </c>
    </row>
    <row r="2" spans="1:22" x14ac:dyDescent="0.35">
      <c r="B2" t="s">
        <v>0</v>
      </c>
      <c r="C2">
        <v>4.5</v>
      </c>
      <c r="E2" t="s">
        <v>1</v>
      </c>
      <c r="F2">
        <v>23</v>
      </c>
      <c r="H2" t="s">
        <v>2</v>
      </c>
      <c r="I2">
        <v>87</v>
      </c>
      <c r="U2" t="s">
        <v>12</v>
      </c>
      <c r="V2">
        <v>1</v>
      </c>
    </row>
    <row r="3" spans="1:22" x14ac:dyDescent="0.35">
      <c r="U3" t="s">
        <v>13</v>
      </c>
      <c r="V3">
        <v>9</v>
      </c>
    </row>
    <row r="5" spans="1:22" x14ac:dyDescent="0.35">
      <c r="A5" t="s">
        <v>3</v>
      </c>
      <c r="B5" t="s">
        <v>6</v>
      </c>
      <c r="C5" t="s">
        <v>4</v>
      </c>
      <c r="D5" t="s">
        <v>5</v>
      </c>
      <c r="G5" t="s">
        <v>7</v>
      </c>
      <c r="L5" t="s">
        <v>8</v>
      </c>
      <c r="Q5" t="s">
        <v>9</v>
      </c>
      <c r="U5">
        <v>0.3453</v>
      </c>
      <c r="V5">
        <f>SUM(U5:U16)</f>
        <v>6.2017000000000007</v>
      </c>
    </row>
    <row r="6" spans="1:22" x14ac:dyDescent="0.35">
      <c r="A6">
        <v>1</v>
      </c>
      <c r="B6">
        <v>3</v>
      </c>
      <c r="C6">
        <f>MOD(($C$2*B6+$F$2),$I$2)</f>
        <v>36.5</v>
      </c>
      <c r="D6">
        <f>C6/($I$2-1)</f>
        <v>0.42441860465116277</v>
      </c>
      <c r="G6">
        <f>(7-3)*D6+3</f>
        <v>4.6976744186046506</v>
      </c>
      <c r="L6">
        <f t="shared" ref="L6:L37" si="0">-(LN(D6)/8)</f>
        <v>0.10712937945813275</v>
      </c>
      <c r="Q6">
        <f>-2*3*LN(D6)</f>
        <v>5.1422102139903725</v>
      </c>
      <c r="U6">
        <v>0.65329999999999999</v>
      </c>
      <c r="V6">
        <f>1 + 3*(V5-6)</f>
        <v>1.605100000000002</v>
      </c>
    </row>
    <row r="7" spans="1:22" x14ac:dyDescent="0.35">
      <c r="A7">
        <v>2</v>
      </c>
      <c r="B7">
        <f>C6</f>
        <v>36.5</v>
      </c>
      <c r="C7">
        <f>MOD(($C$2*B7+$F$2),$I$2)</f>
        <v>13.25</v>
      </c>
      <c r="D7">
        <f>C7/($I$2-1)</f>
        <v>0.15406976744186046</v>
      </c>
      <c r="G7">
        <f>(7-3)*D7+3</f>
        <v>3.6162790697674421</v>
      </c>
      <c r="L7">
        <f t="shared" si="0"/>
        <v>0.23379371797765958</v>
      </c>
      <c r="Q7">
        <f t="shared" ref="Q7:Q70" si="1">-2*3*LN(D7)</f>
        <v>11.22209846292766</v>
      </c>
      <c r="U7">
        <v>0.87529999999999997</v>
      </c>
    </row>
    <row r="8" spans="1:22" x14ac:dyDescent="0.35">
      <c r="A8">
        <v>3</v>
      </c>
      <c r="B8">
        <f t="shared" ref="B8:B71" si="2">C7</f>
        <v>13.25</v>
      </c>
      <c r="C8">
        <f t="shared" ref="C8:C71" si="3">MOD(($C$2*B8+$F$2),$I$2)</f>
        <v>82.625</v>
      </c>
      <c r="D8">
        <f t="shared" ref="D8:D71" si="4">C8/($I$2-1)</f>
        <v>0.96075581395348841</v>
      </c>
      <c r="G8">
        <f t="shared" ref="G8:G71" si="5">(7-3)*D8+3</f>
        <v>6.8430232558139537</v>
      </c>
      <c r="L8">
        <f t="shared" si="0"/>
        <v>5.0043747602071661E-3</v>
      </c>
      <c r="Q8">
        <f t="shared" si="1"/>
        <v>0.24020998848994396</v>
      </c>
      <c r="U8">
        <v>0.23449999999999999</v>
      </c>
    </row>
    <row r="9" spans="1:22" x14ac:dyDescent="0.35">
      <c r="A9">
        <v>4</v>
      </c>
      <c r="B9">
        <f t="shared" si="2"/>
        <v>82.625</v>
      </c>
      <c r="C9">
        <f t="shared" si="3"/>
        <v>46.8125</v>
      </c>
      <c r="D9">
        <f t="shared" si="4"/>
        <v>0.54433139534883723</v>
      </c>
      <c r="G9">
        <f t="shared" si="5"/>
        <v>5.1773255813953494</v>
      </c>
      <c r="L9">
        <f t="shared" si="0"/>
        <v>7.6024629372008684E-2</v>
      </c>
      <c r="Q9">
        <f t="shared" si="1"/>
        <v>3.6491822098564168</v>
      </c>
      <c r="U9">
        <v>0.92459999999999998</v>
      </c>
    </row>
    <row r="10" spans="1:22" x14ac:dyDescent="0.35">
      <c r="A10">
        <v>5</v>
      </c>
      <c r="B10">
        <f t="shared" si="2"/>
        <v>46.8125</v>
      </c>
      <c r="C10">
        <f t="shared" si="3"/>
        <v>59.65625</v>
      </c>
      <c r="D10">
        <f t="shared" si="4"/>
        <v>0.69367732558139539</v>
      </c>
      <c r="G10">
        <f t="shared" si="5"/>
        <v>5.7747093023255811</v>
      </c>
      <c r="L10">
        <f t="shared" si="0"/>
        <v>4.5718546915935826E-2</v>
      </c>
      <c r="Q10">
        <f t="shared" si="1"/>
        <v>2.1944902519649196</v>
      </c>
      <c r="U10">
        <v>0.1535</v>
      </c>
    </row>
    <row r="11" spans="1:22" x14ac:dyDescent="0.35">
      <c r="A11">
        <v>6</v>
      </c>
      <c r="B11">
        <f t="shared" si="2"/>
        <v>59.65625</v>
      </c>
      <c r="C11">
        <f t="shared" si="3"/>
        <v>30.453125</v>
      </c>
      <c r="D11">
        <f t="shared" si="4"/>
        <v>0.35410610465116277</v>
      </c>
      <c r="G11">
        <f t="shared" si="5"/>
        <v>4.4164244186046506</v>
      </c>
      <c r="L11">
        <f t="shared" si="0"/>
        <v>0.12976983501320236</v>
      </c>
      <c r="Q11">
        <f t="shared" si="1"/>
        <v>6.2289520806337126</v>
      </c>
      <c r="U11">
        <v>0.37580000000000002</v>
      </c>
    </row>
    <row r="12" spans="1:22" x14ac:dyDescent="0.35">
      <c r="A12">
        <v>7</v>
      </c>
      <c r="B12">
        <f t="shared" si="2"/>
        <v>30.453125</v>
      </c>
      <c r="C12">
        <f t="shared" si="3"/>
        <v>73.0390625</v>
      </c>
      <c r="D12">
        <f t="shared" si="4"/>
        <v>0.84929142441860461</v>
      </c>
      <c r="G12">
        <f t="shared" si="5"/>
        <v>6.3971656976744189</v>
      </c>
      <c r="L12">
        <f t="shared" si="0"/>
        <v>2.0419111935226157E-2</v>
      </c>
      <c r="Q12">
        <f t="shared" si="1"/>
        <v>0.98011737289085554</v>
      </c>
      <c r="U12">
        <v>0.9456</v>
      </c>
    </row>
    <row r="13" spans="1:22" x14ac:dyDescent="0.35">
      <c r="A13">
        <v>8</v>
      </c>
      <c r="B13">
        <f t="shared" si="2"/>
        <v>73.0390625</v>
      </c>
      <c r="C13">
        <f t="shared" si="3"/>
        <v>3.67578125</v>
      </c>
      <c r="D13">
        <f t="shared" si="4"/>
        <v>4.2741642441860468E-2</v>
      </c>
      <c r="G13">
        <f t="shared" si="5"/>
        <v>3.1709665697674421</v>
      </c>
      <c r="L13">
        <f t="shared" si="0"/>
        <v>0.3940727001434613</v>
      </c>
      <c r="Q13">
        <f t="shared" si="1"/>
        <v>18.91548960688614</v>
      </c>
      <c r="U13">
        <v>0.36840000000000001</v>
      </c>
    </row>
    <row r="14" spans="1:22" x14ac:dyDescent="0.35">
      <c r="A14">
        <v>9</v>
      </c>
      <c r="B14">
        <f t="shared" si="2"/>
        <v>3.67578125</v>
      </c>
      <c r="C14">
        <f t="shared" si="3"/>
        <v>39.541015625</v>
      </c>
      <c r="D14">
        <f t="shared" si="4"/>
        <v>0.45977925145348836</v>
      </c>
      <c r="G14">
        <f t="shared" si="5"/>
        <v>4.8391170058139537</v>
      </c>
      <c r="L14">
        <f t="shared" si="0"/>
        <v>9.7126099103344257E-2</v>
      </c>
      <c r="Q14">
        <f t="shared" si="1"/>
        <v>4.6620527569605246</v>
      </c>
      <c r="U14">
        <v>0.39750000000000002</v>
      </c>
    </row>
    <row r="15" spans="1:22" x14ac:dyDescent="0.35">
      <c r="A15">
        <v>10</v>
      </c>
      <c r="B15">
        <f t="shared" si="2"/>
        <v>39.541015625</v>
      </c>
      <c r="C15">
        <f t="shared" si="3"/>
        <v>26.9345703125</v>
      </c>
      <c r="D15">
        <f t="shared" si="4"/>
        <v>0.31319267805232559</v>
      </c>
      <c r="G15">
        <f t="shared" si="5"/>
        <v>4.2527707122093021</v>
      </c>
      <c r="L15">
        <f t="shared" si="0"/>
        <v>0.14511708662561168</v>
      </c>
      <c r="Q15">
        <f t="shared" si="1"/>
        <v>6.9656201580293606</v>
      </c>
      <c r="U15">
        <v>0.16339999999999999</v>
      </c>
    </row>
    <row r="16" spans="1:22" x14ac:dyDescent="0.35">
      <c r="A16">
        <v>11</v>
      </c>
      <c r="B16">
        <f t="shared" si="2"/>
        <v>26.9345703125</v>
      </c>
      <c r="C16">
        <f t="shared" si="3"/>
        <v>57.20556640625</v>
      </c>
      <c r="D16">
        <f t="shared" si="4"/>
        <v>0.66518100472383723</v>
      </c>
      <c r="G16">
        <f t="shared" si="5"/>
        <v>5.6607240188953494</v>
      </c>
      <c r="L16">
        <f t="shared" si="0"/>
        <v>5.0962010975994065E-2</v>
      </c>
      <c r="Q16">
        <f t="shared" si="1"/>
        <v>2.4461765268477151</v>
      </c>
      <c r="U16">
        <v>0.76449999999999996</v>
      </c>
    </row>
    <row r="17" spans="1:17" x14ac:dyDescent="0.35">
      <c r="A17">
        <v>12</v>
      </c>
      <c r="B17">
        <f t="shared" si="2"/>
        <v>57.20556640625</v>
      </c>
      <c r="C17">
        <f t="shared" si="3"/>
        <v>19.425048828125</v>
      </c>
      <c r="D17">
        <f t="shared" si="4"/>
        <v>0.22587266079215115</v>
      </c>
      <c r="G17">
        <f t="shared" si="5"/>
        <v>3.9034906431686047</v>
      </c>
      <c r="L17">
        <f t="shared" si="0"/>
        <v>0.18597298579107091</v>
      </c>
      <c r="Q17">
        <f t="shared" si="1"/>
        <v>8.9267033179714037</v>
      </c>
    </row>
    <row r="18" spans="1:17" x14ac:dyDescent="0.35">
      <c r="A18">
        <v>13</v>
      </c>
      <c r="B18">
        <f t="shared" si="2"/>
        <v>19.425048828125</v>
      </c>
      <c r="C18">
        <f t="shared" si="3"/>
        <v>23.4127197265625</v>
      </c>
      <c r="D18">
        <f t="shared" si="4"/>
        <v>0.27224092705305231</v>
      </c>
      <c r="G18">
        <f t="shared" si="5"/>
        <v>4.0889637082122094</v>
      </c>
      <c r="L18">
        <f t="shared" si="0"/>
        <v>0.16263348043958273</v>
      </c>
      <c r="Q18">
        <f t="shared" si="1"/>
        <v>7.8064070610999714</v>
      </c>
    </row>
    <row r="19" spans="1:17" x14ac:dyDescent="0.35">
      <c r="A19">
        <v>14</v>
      </c>
      <c r="B19">
        <f t="shared" si="2"/>
        <v>23.4127197265625</v>
      </c>
      <c r="C19">
        <f t="shared" si="3"/>
        <v>41.35723876953125</v>
      </c>
      <c r="D19">
        <f t="shared" si="4"/>
        <v>0.48089812522710756</v>
      </c>
      <c r="G19">
        <f t="shared" si="5"/>
        <v>4.9235925009084305</v>
      </c>
      <c r="L19">
        <f t="shared" si="0"/>
        <v>9.1512478646669046E-2</v>
      </c>
      <c r="Q19">
        <f t="shared" si="1"/>
        <v>4.392598975040114</v>
      </c>
    </row>
    <row r="20" spans="1:17" x14ac:dyDescent="0.35">
      <c r="A20">
        <v>15</v>
      </c>
      <c r="B20">
        <f t="shared" si="2"/>
        <v>41.35723876953125</v>
      </c>
      <c r="C20">
        <f t="shared" si="3"/>
        <v>35.107574462890625</v>
      </c>
      <c r="D20">
        <f t="shared" si="4"/>
        <v>0.40822761003361191</v>
      </c>
      <c r="G20">
        <f t="shared" si="5"/>
        <v>4.6329104401344479</v>
      </c>
      <c r="L20">
        <f t="shared" si="0"/>
        <v>0.11199129904986098</v>
      </c>
      <c r="Q20">
        <f t="shared" si="1"/>
        <v>5.3755823543933268</v>
      </c>
    </row>
    <row r="21" spans="1:17" x14ac:dyDescent="0.35">
      <c r="A21">
        <v>16</v>
      </c>
      <c r="B21">
        <f t="shared" si="2"/>
        <v>35.107574462890625</v>
      </c>
      <c r="C21">
        <f t="shared" si="3"/>
        <v>6.9840850830078125</v>
      </c>
      <c r="D21">
        <f t="shared" si="4"/>
        <v>8.1210291662881545E-2</v>
      </c>
      <c r="G21">
        <f t="shared" si="5"/>
        <v>3.3248411666515261</v>
      </c>
      <c r="L21">
        <f t="shared" si="0"/>
        <v>0.31383916190364464</v>
      </c>
      <c r="Q21">
        <f t="shared" si="1"/>
        <v>15.064279771374942</v>
      </c>
    </row>
    <row r="22" spans="1:17" x14ac:dyDescent="0.35">
      <c r="A22">
        <v>17</v>
      </c>
      <c r="B22">
        <f t="shared" si="2"/>
        <v>6.9840850830078125</v>
      </c>
      <c r="C22">
        <f t="shared" si="3"/>
        <v>54.428382873535156</v>
      </c>
      <c r="D22">
        <f t="shared" si="4"/>
        <v>0.63288817294808319</v>
      </c>
      <c r="G22">
        <f t="shared" si="5"/>
        <v>5.5315526917923332</v>
      </c>
      <c r="L22">
        <f t="shared" si="0"/>
        <v>5.7182691806734874E-2</v>
      </c>
      <c r="Q22">
        <f t="shared" si="1"/>
        <v>2.7447692067232738</v>
      </c>
    </row>
    <row r="23" spans="1:17" x14ac:dyDescent="0.35">
      <c r="A23">
        <v>18</v>
      </c>
      <c r="B23">
        <f t="shared" si="2"/>
        <v>54.428382873535156</v>
      </c>
      <c r="C23">
        <f t="shared" si="3"/>
        <v>6.9277229309082031</v>
      </c>
      <c r="D23">
        <f t="shared" si="4"/>
        <v>8.0554917801258175E-2</v>
      </c>
      <c r="G23">
        <f t="shared" si="5"/>
        <v>3.3222196712050325</v>
      </c>
      <c r="L23">
        <f t="shared" si="0"/>
        <v>0.31485201480561492</v>
      </c>
      <c r="Q23">
        <f t="shared" si="1"/>
        <v>15.112896710669517</v>
      </c>
    </row>
    <row r="24" spans="1:17" x14ac:dyDescent="0.35">
      <c r="A24">
        <v>19</v>
      </c>
      <c r="B24">
        <f t="shared" si="2"/>
        <v>6.9277229309082031</v>
      </c>
      <c r="C24">
        <f t="shared" si="3"/>
        <v>54.174753189086914</v>
      </c>
      <c r="D24">
        <f t="shared" si="4"/>
        <v>0.62993899057077807</v>
      </c>
      <c r="G24">
        <f t="shared" si="5"/>
        <v>5.5197559622831118</v>
      </c>
      <c r="L24">
        <f t="shared" si="0"/>
        <v>5.7766538081216727E-2</v>
      </c>
      <c r="Q24">
        <f t="shared" si="1"/>
        <v>2.7727938278984028</v>
      </c>
    </row>
    <row r="25" spans="1:17" x14ac:dyDescent="0.35">
      <c r="A25">
        <v>20</v>
      </c>
      <c r="B25">
        <f t="shared" si="2"/>
        <v>54.174753189086914</v>
      </c>
      <c r="C25">
        <f t="shared" si="3"/>
        <v>5.7863893508911133</v>
      </c>
      <c r="D25">
        <f t="shared" si="4"/>
        <v>6.7283597103385037E-2</v>
      </c>
      <c r="G25">
        <f t="shared" si="5"/>
        <v>3.2691343884135402</v>
      </c>
      <c r="L25">
        <f t="shared" si="0"/>
        <v>0.33735485000885884</v>
      </c>
      <c r="Q25">
        <f t="shared" si="1"/>
        <v>16.193032800425225</v>
      </c>
    </row>
    <row r="26" spans="1:17" x14ac:dyDescent="0.35">
      <c r="A26">
        <v>21</v>
      </c>
      <c r="B26">
        <f t="shared" si="2"/>
        <v>5.7863893508911133</v>
      </c>
      <c r="C26">
        <f t="shared" si="3"/>
        <v>49.03875207901001</v>
      </c>
      <c r="D26">
        <f t="shared" si="4"/>
        <v>0.57021804743034898</v>
      </c>
      <c r="G26">
        <f t="shared" si="5"/>
        <v>5.2808721897213964</v>
      </c>
      <c r="L26">
        <f t="shared" si="0"/>
        <v>7.0217056493946883E-2</v>
      </c>
      <c r="Q26">
        <f t="shared" si="1"/>
        <v>3.3704187117094504</v>
      </c>
    </row>
    <row r="27" spans="1:17" x14ac:dyDescent="0.35">
      <c r="A27">
        <v>22</v>
      </c>
      <c r="B27">
        <f t="shared" si="2"/>
        <v>49.03875207901001</v>
      </c>
      <c r="C27">
        <f t="shared" si="3"/>
        <v>69.674384355545044</v>
      </c>
      <c r="D27">
        <f t="shared" si="4"/>
        <v>0.81016725994819816</v>
      </c>
      <c r="G27">
        <f t="shared" si="5"/>
        <v>6.2406690397927926</v>
      </c>
      <c r="L27">
        <f t="shared" si="0"/>
        <v>2.6314319858668455E-2</v>
      </c>
      <c r="Q27">
        <f t="shared" si="1"/>
        <v>1.2630873532160858</v>
      </c>
    </row>
    <row r="28" spans="1:17" x14ac:dyDescent="0.35">
      <c r="A28">
        <v>23</v>
      </c>
      <c r="B28">
        <f t="shared" si="2"/>
        <v>69.674384355545044</v>
      </c>
      <c r="C28">
        <f t="shared" si="3"/>
        <v>75.534729599952698</v>
      </c>
      <c r="D28">
        <f t="shared" si="4"/>
        <v>0.87831080930177552</v>
      </c>
      <c r="G28">
        <f t="shared" si="5"/>
        <v>6.5132432372071021</v>
      </c>
      <c r="L28">
        <f t="shared" si="0"/>
        <v>1.6219343882787268E-2</v>
      </c>
      <c r="Q28">
        <f t="shared" si="1"/>
        <v>0.77852850637378879</v>
      </c>
    </row>
    <row r="29" spans="1:17" x14ac:dyDescent="0.35">
      <c r="A29">
        <v>24</v>
      </c>
      <c r="B29">
        <f t="shared" si="2"/>
        <v>75.534729599952698</v>
      </c>
      <c r="C29">
        <f t="shared" si="3"/>
        <v>14.90628319978714</v>
      </c>
      <c r="D29">
        <f t="shared" si="4"/>
        <v>0.17332887441612954</v>
      </c>
      <c r="G29">
        <f t="shared" si="5"/>
        <v>3.6933154976645182</v>
      </c>
      <c r="L29">
        <f t="shared" si="0"/>
        <v>0.21907056011599807</v>
      </c>
      <c r="Q29">
        <f t="shared" si="1"/>
        <v>10.515386885567906</v>
      </c>
    </row>
    <row r="30" spans="1:17" x14ac:dyDescent="0.35">
      <c r="A30">
        <v>25</v>
      </c>
      <c r="B30">
        <f t="shared" si="2"/>
        <v>14.90628319978714</v>
      </c>
      <c r="C30">
        <f t="shared" si="3"/>
        <v>3.0782743990421295</v>
      </c>
      <c r="D30">
        <f t="shared" si="4"/>
        <v>3.5793888360954991E-2</v>
      </c>
      <c r="G30">
        <f t="shared" si="5"/>
        <v>3.1431755534438199</v>
      </c>
      <c r="L30">
        <f t="shared" si="0"/>
        <v>0.41624726454044858</v>
      </c>
      <c r="Q30">
        <f t="shared" si="1"/>
        <v>19.979868697941534</v>
      </c>
    </row>
    <row r="31" spans="1:17" x14ac:dyDescent="0.35">
      <c r="A31">
        <v>26</v>
      </c>
      <c r="B31">
        <f t="shared" si="2"/>
        <v>3.0782743990421295</v>
      </c>
      <c r="C31">
        <f t="shared" si="3"/>
        <v>36.852234795689583</v>
      </c>
      <c r="D31">
        <f t="shared" si="4"/>
        <v>0.42851435808941374</v>
      </c>
      <c r="G31">
        <f t="shared" si="5"/>
        <v>4.714057432357655</v>
      </c>
      <c r="L31">
        <f t="shared" si="0"/>
        <v>0.10592887921405149</v>
      </c>
      <c r="Q31">
        <f t="shared" si="1"/>
        <v>5.0845862022744717</v>
      </c>
    </row>
    <row r="32" spans="1:17" x14ac:dyDescent="0.35">
      <c r="A32">
        <v>27</v>
      </c>
      <c r="B32">
        <f t="shared" si="2"/>
        <v>36.852234795689583</v>
      </c>
      <c r="C32">
        <f t="shared" si="3"/>
        <v>14.835056580603123</v>
      </c>
      <c r="D32">
        <f t="shared" si="4"/>
        <v>0.1725006579139898</v>
      </c>
      <c r="G32">
        <f t="shared" si="5"/>
        <v>3.6900026316559593</v>
      </c>
      <c r="L32">
        <f t="shared" si="0"/>
        <v>0.21966927856548152</v>
      </c>
      <c r="Q32">
        <f t="shared" si="1"/>
        <v>10.544125371143114</v>
      </c>
    </row>
    <row r="33" spans="1:17" x14ac:dyDescent="0.35">
      <c r="A33">
        <v>28</v>
      </c>
      <c r="B33">
        <f t="shared" si="2"/>
        <v>14.835056580603123</v>
      </c>
      <c r="C33">
        <f t="shared" si="3"/>
        <v>2.7577546127140522</v>
      </c>
      <c r="D33">
        <f t="shared" si="4"/>
        <v>3.2066914101326185E-2</v>
      </c>
      <c r="G33">
        <f t="shared" si="5"/>
        <v>3.1282676564053049</v>
      </c>
      <c r="L33">
        <f t="shared" si="0"/>
        <v>0.42999131171884786</v>
      </c>
      <c r="Q33">
        <f t="shared" si="1"/>
        <v>20.639582962504697</v>
      </c>
    </row>
    <row r="34" spans="1:17" x14ac:dyDescent="0.35">
      <c r="A34">
        <v>29</v>
      </c>
      <c r="B34">
        <f t="shared" si="2"/>
        <v>2.7577546127140522</v>
      </c>
      <c r="C34">
        <f t="shared" si="3"/>
        <v>35.409895757213235</v>
      </c>
      <c r="D34">
        <f t="shared" si="4"/>
        <v>0.41174297392108411</v>
      </c>
      <c r="G34">
        <f t="shared" si="5"/>
        <v>4.6469718956843362</v>
      </c>
      <c r="L34">
        <f t="shared" si="0"/>
        <v>0.11091949675173933</v>
      </c>
      <c r="Q34">
        <f t="shared" si="1"/>
        <v>5.3241358440834876</v>
      </c>
    </row>
    <row r="35" spans="1:17" x14ac:dyDescent="0.35">
      <c r="A35">
        <v>30</v>
      </c>
      <c r="B35">
        <f t="shared" si="2"/>
        <v>35.409895757213235</v>
      </c>
      <c r="C35">
        <f t="shared" si="3"/>
        <v>8.3445309074595571</v>
      </c>
      <c r="D35">
        <f t="shared" si="4"/>
        <v>9.7029429156506475E-2</v>
      </c>
      <c r="G35">
        <f t="shared" si="5"/>
        <v>3.3881177166260259</v>
      </c>
      <c r="L35">
        <f t="shared" si="0"/>
        <v>0.29159261914089607</v>
      </c>
      <c r="Q35">
        <f t="shared" si="1"/>
        <v>13.996445718763011</v>
      </c>
    </row>
    <row r="36" spans="1:17" x14ac:dyDescent="0.35">
      <c r="A36">
        <v>31</v>
      </c>
      <c r="B36">
        <f t="shared" si="2"/>
        <v>8.3445309074595571</v>
      </c>
      <c r="C36">
        <f t="shared" si="3"/>
        <v>60.550389083568007</v>
      </c>
      <c r="D36">
        <f t="shared" si="4"/>
        <v>0.70407429166939539</v>
      </c>
      <c r="G36">
        <f t="shared" si="5"/>
        <v>5.8162971666775816</v>
      </c>
      <c r="L36">
        <f t="shared" si="0"/>
        <v>4.3858925056536734E-2</v>
      </c>
      <c r="Q36">
        <f t="shared" si="1"/>
        <v>2.1052284027137631</v>
      </c>
    </row>
    <row r="37" spans="1:17" x14ac:dyDescent="0.35">
      <c r="A37">
        <v>32</v>
      </c>
      <c r="B37">
        <f t="shared" si="2"/>
        <v>60.550389083568007</v>
      </c>
      <c r="C37">
        <f t="shared" si="3"/>
        <v>34.47675087605603</v>
      </c>
      <c r="D37">
        <f t="shared" si="4"/>
        <v>0.40089245204716312</v>
      </c>
      <c r="G37">
        <f t="shared" si="5"/>
        <v>4.6035698081886522</v>
      </c>
      <c r="L37">
        <f t="shared" si="0"/>
        <v>0.11425776087888595</v>
      </c>
      <c r="Q37">
        <f t="shared" si="1"/>
        <v>5.4843725221865256</v>
      </c>
    </row>
    <row r="38" spans="1:17" x14ac:dyDescent="0.35">
      <c r="A38">
        <v>33</v>
      </c>
      <c r="B38">
        <f t="shared" si="2"/>
        <v>34.47675087605603</v>
      </c>
      <c r="C38">
        <f t="shared" si="3"/>
        <v>4.1453789422521368</v>
      </c>
      <c r="D38">
        <f t="shared" si="4"/>
        <v>4.8202080723862055E-2</v>
      </c>
      <c r="G38">
        <f t="shared" si="5"/>
        <v>3.192808322895448</v>
      </c>
      <c r="L38">
        <f t="shared" ref="L38:L69" si="6">-(LN(D38)/8)</f>
        <v>0.37904413628905764</v>
      </c>
      <c r="Q38">
        <f t="shared" si="1"/>
        <v>18.194118541874765</v>
      </c>
    </row>
    <row r="39" spans="1:17" x14ac:dyDescent="0.35">
      <c r="A39">
        <v>34</v>
      </c>
      <c r="B39">
        <f t="shared" si="2"/>
        <v>4.1453789422521368</v>
      </c>
      <c r="C39">
        <f t="shared" si="3"/>
        <v>41.654205240134615</v>
      </c>
      <c r="D39">
        <f t="shared" si="4"/>
        <v>0.48435122372249551</v>
      </c>
      <c r="G39">
        <f t="shared" si="5"/>
        <v>4.9374048948899816</v>
      </c>
      <c r="L39">
        <f t="shared" si="6"/>
        <v>9.0618120823463003E-2</v>
      </c>
      <c r="Q39">
        <f t="shared" si="1"/>
        <v>4.3496697995262243</v>
      </c>
    </row>
    <row r="40" spans="1:17" x14ac:dyDescent="0.35">
      <c r="A40">
        <v>35</v>
      </c>
      <c r="B40">
        <f t="shared" si="2"/>
        <v>41.654205240134615</v>
      </c>
      <c r="C40">
        <f t="shared" si="3"/>
        <v>36.44392358060577</v>
      </c>
      <c r="D40">
        <f t="shared" si="4"/>
        <v>0.42376655326285778</v>
      </c>
      <c r="G40">
        <f t="shared" si="5"/>
        <v>4.6950662130514313</v>
      </c>
      <c r="L40">
        <f t="shared" si="6"/>
        <v>0.10732156966291104</v>
      </c>
      <c r="Q40">
        <f t="shared" si="1"/>
        <v>5.1514353438197293</v>
      </c>
    </row>
    <row r="41" spans="1:17" x14ac:dyDescent="0.35">
      <c r="A41">
        <v>36</v>
      </c>
      <c r="B41">
        <f t="shared" si="2"/>
        <v>36.44392358060577</v>
      </c>
      <c r="C41">
        <f t="shared" si="3"/>
        <v>12.997656112725963</v>
      </c>
      <c r="D41">
        <f t="shared" si="4"/>
        <v>0.15113553619448794</v>
      </c>
      <c r="G41">
        <f t="shared" si="5"/>
        <v>3.6045421447779518</v>
      </c>
      <c r="L41">
        <f t="shared" si="6"/>
        <v>0.23619728175860916</v>
      </c>
      <c r="Q41">
        <f t="shared" si="1"/>
        <v>11.33746952441324</v>
      </c>
    </row>
    <row r="42" spans="1:17" x14ac:dyDescent="0.35">
      <c r="A42">
        <v>37</v>
      </c>
      <c r="B42">
        <f t="shared" si="2"/>
        <v>12.997656112725963</v>
      </c>
      <c r="C42">
        <f t="shared" si="3"/>
        <v>81.489452507266833</v>
      </c>
      <c r="D42">
        <f t="shared" si="4"/>
        <v>0.94755177334031204</v>
      </c>
      <c r="G42">
        <f t="shared" si="5"/>
        <v>6.7902070933612482</v>
      </c>
      <c r="L42">
        <f t="shared" si="6"/>
        <v>6.734212683819402E-3</v>
      </c>
      <c r="Q42">
        <f t="shared" si="1"/>
        <v>0.32324220882333132</v>
      </c>
    </row>
    <row r="43" spans="1:17" x14ac:dyDescent="0.35">
      <c r="A43">
        <v>38</v>
      </c>
      <c r="B43">
        <f t="shared" si="2"/>
        <v>81.489452507266833</v>
      </c>
      <c r="C43">
        <f t="shared" si="3"/>
        <v>41.702536282700748</v>
      </c>
      <c r="D43">
        <f t="shared" si="4"/>
        <v>0.48491321258954356</v>
      </c>
      <c r="G43">
        <f t="shared" si="5"/>
        <v>4.9396528503581738</v>
      </c>
      <c r="L43">
        <f t="shared" si="6"/>
        <v>9.0473168396403292E-2</v>
      </c>
      <c r="Q43">
        <f t="shared" si="1"/>
        <v>4.342712083027358</v>
      </c>
    </row>
    <row r="44" spans="1:17" x14ac:dyDescent="0.35">
      <c r="A44">
        <v>39</v>
      </c>
      <c r="B44">
        <f t="shared" si="2"/>
        <v>41.702536282700748</v>
      </c>
      <c r="C44">
        <f t="shared" si="3"/>
        <v>36.661413272153368</v>
      </c>
      <c r="D44">
        <f t="shared" si="4"/>
        <v>0.42629550316457404</v>
      </c>
      <c r="G44">
        <f t="shared" si="5"/>
        <v>4.7051820126582964</v>
      </c>
      <c r="L44">
        <f t="shared" si="6"/>
        <v>0.10657781297372189</v>
      </c>
      <c r="Q44">
        <f t="shared" si="1"/>
        <v>5.1157350227386509</v>
      </c>
    </row>
    <row r="45" spans="1:17" x14ac:dyDescent="0.35">
      <c r="A45">
        <v>40</v>
      </c>
      <c r="B45">
        <f t="shared" si="2"/>
        <v>36.661413272153368</v>
      </c>
      <c r="C45">
        <f t="shared" si="3"/>
        <v>13.976359724690155</v>
      </c>
      <c r="D45">
        <f t="shared" si="4"/>
        <v>0.16251581075221111</v>
      </c>
      <c r="G45">
        <f t="shared" si="5"/>
        <v>3.6500632430088444</v>
      </c>
      <c r="L45">
        <f t="shared" si="6"/>
        <v>0.22712249812608765</v>
      </c>
      <c r="Q45">
        <f t="shared" si="1"/>
        <v>10.901879910052207</v>
      </c>
    </row>
    <row r="46" spans="1:17" x14ac:dyDescent="0.35">
      <c r="A46">
        <v>41</v>
      </c>
      <c r="B46">
        <f t="shared" si="2"/>
        <v>13.976359724690155</v>
      </c>
      <c r="C46">
        <f t="shared" si="3"/>
        <v>85.893618761105699</v>
      </c>
      <c r="D46">
        <f t="shared" si="4"/>
        <v>0.9987630088500663</v>
      </c>
      <c r="G46">
        <f t="shared" si="5"/>
        <v>6.9950520354002652</v>
      </c>
      <c r="L46">
        <f t="shared" si="6"/>
        <v>1.5471960687478301E-4</v>
      </c>
      <c r="Q46">
        <f t="shared" si="1"/>
        <v>7.4265411299895842E-3</v>
      </c>
    </row>
    <row r="47" spans="1:17" x14ac:dyDescent="0.35">
      <c r="A47">
        <v>42</v>
      </c>
      <c r="B47">
        <f t="shared" si="2"/>
        <v>85.893618761105699</v>
      </c>
      <c r="C47">
        <f t="shared" si="3"/>
        <v>61.521284424975647</v>
      </c>
      <c r="D47">
        <f t="shared" si="4"/>
        <v>0.71536377238343773</v>
      </c>
      <c r="G47">
        <f t="shared" si="5"/>
        <v>5.8614550895337505</v>
      </c>
      <c r="L47">
        <f t="shared" si="6"/>
        <v>4.1870511638095013E-2</v>
      </c>
      <c r="Q47">
        <f t="shared" si="1"/>
        <v>2.0097845586285605</v>
      </c>
    </row>
    <row r="48" spans="1:17" x14ac:dyDescent="0.35">
      <c r="A48">
        <v>43</v>
      </c>
      <c r="B48">
        <f t="shared" si="2"/>
        <v>61.521284424975647</v>
      </c>
      <c r="C48">
        <f t="shared" si="3"/>
        <v>38.845779912390412</v>
      </c>
      <c r="D48">
        <f t="shared" si="4"/>
        <v>0.45169511526035361</v>
      </c>
      <c r="G48">
        <f t="shared" si="5"/>
        <v>4.8067804610414147</v>
      </c>
      <c r="L48">
        <f t="shared" si="6"/>
        <v>9.934348131296096E-2</v>
      </c>
      <c r="Q48">
        <f t="shared" si="1"/>
        <v>4.7684871030221263</v>
      </c>
    </row>
    <row r="49" spans="1:17" x14ac:dyDescent="0.35">
      <c r="A49">
        <v>44</v>
      </c>
      <c r="B49">
        <f t="shared" si="2"/>
        <v>38.845779912390412</v>
      </c>
      <c r="C49">
        <f t="shared" si="3"/>
        <v>23.806009605756856</v>
      </c>
      <c r="D49">
        <f t="shared" si="4"/>
        <v>0.27681406518321927</v>
      </c>
      <c r="G49">
        <f t="shared" si="5"/>
        <v>4.1072562607328766</v>
      </c>
      <c r="L49">
        <f t="shared" si="6"/>
        <v>0.16055115537579936</v>
      </c>
      <c r="Q49">
        <f t="shared" si="1"/>
        <v>7.70645545803837</v>
      </c>
    </row>
    <row r="50" spans="1:17" x14ac:dyDescent="0.35">
      <c r="A50">
        <v>45</v>
      </c>
      <c r="B50">
        <f t="shared" si="2"/>
        <v>23.806009605756856</v>
      </c>
      <c r="C50">
        <f t="shared" si="3"/>
        <v>43.127043225905851</v>
      </c>
      <c r="D50">
        <f t="shared" si="4"/>
        <v>0.50147724681285877</v>
      </c>
      <c r="G50">
        <f t="shared" si="5"/>
        <v>5.0059089872514351</v>
      </c>
      <c r="L50">
        <f t="shared" si="6"/>
        <v>8.627463035911255E-2</v>
      </c>
      <c r="Q50">
        <f t="shared" si="1"/>
        <v>4.1411822572374026</v>
      </c>
    </row>
    <row r="51" spans="1:17" x14ac:dyDescent="0.35">
      <c r="A51">
        <v>46</v>
      </c>
      <c r="B51">
        <f t="shared" si="2"/>
        <v>43.127043225905851</v>
      </c>
      <c r="C51">
        <f t="shared" si="3"/>
        <v>43.071694516576315</v>
      </c>
      <c r="D51">
        <f t="shared" si="4"/>
        <v>0.50083365716949202</v>
      </c>
      <c r="G51">
        <f t="shared" si="5"/>
        <v>5.0033346286779681</v>
      </c>
      <c r="L51">
        <f t="shared" si="6"/>
        <v>8.6435156830804188E-2</v>
      </c>
      <c r="Q51">
        <f t="shared" si="1"/>
        <v>4.1488875278786015</v>
      </c>
    </row>
    <row r="52" spans="1:17" x14ac:dyDescent="0.35">
      <c r="A52">
        <v>47</v>
      </c>
      <c r="B52">
        <f t="shared" si="2"/>
        <v>43.071694516576315</v>
      </c>
      <c r="C52">
        <f t="shared" si="3"/>
        <v>42.822625324593417</v>
      </c>
      <c r="D52">
        <f t="shared" si="4"/>
        <v>0.49793750377434204</v>
      </c>
      <c r="G52">
        <f t="shared" si="5"/>
        <v>4.9917500150973684</v>
      </c>
      <c r="L52">
        <f t="shared" si="6"/>
        <v>8.7160088032700117E-2</v>
      </c>
      <c r="Q52">
        <f t="shared" si="1"/>
        <v>4.1836842255696052</v>
      </c>
    </row>
    <row r="53" spans="1:17" x14ac:dyDescent="0.35">
      <c r="A53">
        <v>48</v>
      </c>
      <c r="B53">
        <f t="shared" si="2"/>
        <v>42.822625324593417</v>
      </c>
      <c r="C53">
        <f t="shared" si="3"/>
        <v>41.701813960670393</v>
      </c>
      <c r="D53">
        <f t="shared" si="4"/>
        <v>0.48490481349616738</v>
      </c>
      <c r="G53">
        <f t="shared" si="5"/>
        <v>4.9396192539846693</v>
      </c>
      <c r="L53">
        <f t="shared" si="6"/>
        <v>9.0475333517371984E-2</v>
      </c>
      <c r="Q53">
        <f t="shared" si="1"/>
        <v>4.3428160088338554</v>
      </c>
    </row>
    <row r="54" spans="1:17" x14ac:dyDescent="0.35">
      <c r="A54">
        <v>49</v>
      </c>
      <c r="B54">
        <f t="shared" si="2"/>
        <v>41.701813960670393</v>
      </c>
      <c r="C54">
        <f t="shared" si="3"/>
        <v>36.658162823016767</v>
      </c>
      <c r="D54">
        <f t="shared" si="4"/>
        <v>0.426257707244381</v>
      </c>
      <c r="G54">
        <f t="shared" si="5"/>
        <v>4.7050308289775238</v>
      </c>
      <c r="L54">
        <f t="shared" si="6"/>
        <v>0.10658889612951684</v>
      </c>
      <c r="Q54">
        <f t="shared" si="1"/>
        <v>5.1162670142168087</v>
      </c>
    </row>
    <row r="55" spans="1:17" x14ac:dyDescent="0.35">
      <c r="A55">
        <v>50</v>
      </c>
      <c r="B55">
        <f t="shared" si="2"/>
        <v>36.658162823016767</v>
      </c>
      <c r="C55">
        <f t="shared" si="3"/>
        <v>13.96173270357545</v>
      </c>
      <c r="D55">
        <f t="shared" si="4"/>
        <v>0.16234572911134243</v>
      </c>
      <c r="G55">
        <f t="shared" si="5"/>
        <v>3.6493829164453695</v>
      </c>
      <c r="L55">
        <f t="shared" si="6"/>
        <v>0.2272533859317665</v>
      </c>
      <c r="Q55">
        <f t="shared" si="1"/>
        <v>10.908162524724792</v>
      </c>
    </row>
    <row r="56" spans="1:17" x14ac:dyDescent="0.35">
      <c r="A56">
        <v>51</v>
      </c>
      <c r="B56">
        <f t="shared" si="2"/>
        <v>13.96173270357545</v>
      </c>
      <c r="C56">
        <f t="shared" si="3"/>
        <v>85.827797166089525</v>
      </c>
      <c r="D56">
        <f t="shared" si="4"/>
        <v>0.99799764146615721</v>
      </c>
      <c r="G56">
        <f t="shared" si="5"/>
        <v>6.9919905658646293</v>
      </c>
      <c r="L56">
        <f t="shared" si="6"/>
        <v>2.505457417286367E-4</v>
      </c>
      <c r="Q56">
        <f t="shared" si="1"/>
        <v>1.2026195602974563E-2</v>
      </c>
    </row>
    <row r="57" spans="1:17" x14ac:dyDescent="0.35">
      <c r="A57">
        <v>52</v>
      </c>
      <c r="B57">
        <f t="shared" si="2"/>
        <v>85.827797166089525</v>
      </c>
      <c r="C57">
        <f t="shared" si="3"/>
        <v>61.225087247402882</v>
      </c>
      <c r="D57">
        <f t="shared" si="4"/>
        <v>0.71191961915584745</v>
      </c>
      <c r="G57">
        <f t="shared" si="5"/>
        <v>5.8476784766233898</v>
      </c>
      <c r="L57">
        <f t="shared" si="6"/>
        <v>4.2473783548406648E-2</v>
      </c>
      <c r="Q57">
        <f t="shared" si="1"/>
        <v>2.0387416103235192</v>
      </c>
    </row>
    <row r="58" spans="1:17" x14ac:dyDescent="0.35">
      <c r="A58">
        <v>53</v>
      </c>
      <c r="B58">
        <f t="shared" si="2"/>
        <v>61.225087247402882</v>
      </c>
      <c r="C58">
        <f t="shared" si="3"/>
        <v>37.512892613312943</v>
      </c>
      <c r="D58">
        <f t="shared" si="4"/>
        <v>0.43619642573619699</v>
      </c>
      <c r="G58">
        <f t="shared" si="5"/>
        <v>4.744785702944788</v>
      </c>
      <c r="L58">
        <f t="shared" si="6"/>
        <v>0.10370782741777258</v>
      </c>
      <c r="Q58">
        <f t="shared" si="1"/>
        <v>4.9779757160530842</v>
      </c>
    </row>
    <row r="59" spans="1:17" x14ac:dyDescent="0.35">
      <c r="A59">
        <v>54</v>
      </c>
      <c r="B59">
        <f t="shared" si="2"/>
        <v>37.512892613312943</v>
      </c>
      <c r="C59">
        <f t="shared" si="3"/>
        <v>17.808016759908242</v>
      </c>
      <c r="D59">
        <f t="shared" si="4"/>
        <v>0.20706996232451444</v>
      </c>
      <c r="G59">
        <f t="shared" si="5"/>
        <v>3.8282798492980579</v>
      </c>
      <c r="L59">
        <f t="shared" si="6"/>
        <v>0.19683732007198365</v>
      </c>
      <c r="Q59">
        <f t="shared" si="1"/>
        <v>9.4481913634552157</v>
      </c>
    </row>
    <row r="60" spans="1:17" x14ac:dyDescent="0.35">
      <c r="A60">
        <v>55</v>
      </c>
      <c r="B60">
        <f t="shared" si="2"/>
        <v>17.808016759908242</v>
      </c>
      <c r="C60">
        <f t="shared" si="3"/>
        <v>16.136075419587087</v>
      </c>
      <c r="D60">
        <f t="shared" si="4"/>
        <v>0.18762878394868707</v>
      </c>
      <c r="G60">
        <f t="shared" si="5"/>
        <v>3.7505151357947484</v>
      </c>
      <c r="L60">
        <f t="shared" si="6"/>
        <v>0.20916122770216083</v>
      </c>
      <c r="Q60">
        <f t="shared" si="1"/>
        <v>10.03973892970372</v>
      </c>
    </row>
    <row r="61" spans="1:17" x14ac:dyDescent="0.35">
      <c r="A61">
        <v>56</v>
      </c>
      <c r="B61">
        <f t="shared" si="2"/>
        <v>16.136075419587087</v>
      </c>
      <c r="C61">
        <f t="shared" si="3"/>
        <v>8.6123393881418906</v>
      </c>
      <c r="D61">
        <f t="shared" si="4"/>
        <v>0.10014348125746385</v>
      </c>
      <c r="G61">
        <f t="shared" si="5"/>
        <v>3.4005739250298554</v>
      </c>
      <c r="L61">
        <f t="shared" si="6"/>
        <v>0.28764391359742719</v>
      </c>
      <c r="Q61">
        <f t="shared" si="1"/>
        <v>13.806907852676506</v>
      </c>
    </row>
    <row r="62" spans="1:17" x14ac:dyDescent="0.35">
      <c r="A62">
        <v>57</v>
      </c>
      <c r="B62">
        <f t="shared" si="2"/>
        <v>8.6123393881418906</v>
      </c>
      <c r="C62">
        <f t="shared" si="3"/>
        <v>61.755527246638508</v>
      </c>
      <c r="D62">
        <f t="shared" si="4"/>
        <v>0.71808752612370352</v>
      </c>
      <c r="G62">
        <f t="shared" si="5"/>
        <v>5.8723501044948136</v>
      </c>
      <c r="L62">
        <f t="shared" si="6"/>
        <v>4.1395476835523484E-2</v>
      </c>
      <c r="Q62">
        <f t="shared" si="1"/>
        <v>1.9869828881051272</v>
      </c>
    </row>
    <row r="63" spans="1:17" x14ac:dyDescent="0.35">
      <c r="A63">
        <v>58</v>
      </c>
      <c r="B63">
        <f t="shared" si="2"/>
        <v>61.755527246638508</v>
      </c>
      <c r="C63">
        <f t="shared" si="3"/>
        <v>39.899872609873285</v>
      </c>
      <c r="D63">
        <f t="shared" si="4"/>
        <v>0.46395200709154982</v>
      </c>
      <c r="G63">
        <f t="shared" si="5"/>
        <v>4.8558080283661997</v>
      </c>
      <c r="L63">
        <f t="shared" si="6"/>
        <v>9.5996770637224019E-2</v>
      </c>
      <c r="Q63">
        <f t="shared" si="1"/>
        <v>4.6078449905867531</v>
      </c>
    </row>
    <row r="64" spans="1:17" x14ac:dyDescent="0.35">
      <c r="A64">
        <v>59</v>
      </c>
      <c r="B64">
        <f t="shared" si="2"/>
        <v>39.899872609873285</v>
      </c>
      <c r="C64">
        <f t="shared" si="3"/>
        <v>28.54942674442978</v>
      </c>
      <c r="D64">
        <f t="shared" si="4"/>
        <v>0.3319700784236021</v>
      </c>
      <c r="G64">
        <f t="shared" si="5"/>
        <v>4.3278803136944086</v>
      </c>
      <c r="L64">
        <f t="shared" si="6"/>
        <v>0.13783880491966066</v>
      </c>
      <c r="Q64">
        <f t="shared" si="1"/>
        <v>6.6162626361437118</v>
      </c>
    </row>
    <row r="65" spans="1:17" x14ac:dyDescent="0.35">
      <c r="A65">
        <v>60</v>
      </c>
      <c r="B65">
        <f t="shared" si="2"/>
        <v>28.54942674442978</v>
      </c>
      <c r="C65">
        <f t="shared" si="3"/>
        <v>64.472420349933998</v>
      </c>
      <c r="D65">
        <f t="shared" si="4"/>
        <v>0.74967930639458136</v>
      </c>
      <c r="G65">
        <f t="shared" si="5"/>
        <v>5.998717225578325</v>
      </c>
      <c r="L65">
        <f t="shared" si="6"/>
        <v>3.6013719421121825E-2</v>
      </c>
      <c r="Q65">
        <f t="shared" si="1"/>
        <v>1.7286585322138475</v>
      </c>
    </row>
    <row r="66" spans="1:17" x14ac:dyDescent="0.35">
      <c r="A66">
        <v>61</v>
      </c>
      <c r="B66">
        <f t="shared" si="2"/>
        <v>64.472420349933998</v>
      </c>
      <c r="C66">
        <f t="shared" si="3"/>
        <v>52.125891574703019</v>
      </c>
      <c r="D66">
        <f t="shared" si="4"/>
        <v>0.60611501831050019</v>
      </c>
      <c r="G66">
        <f t="shared" si="5"/>
        <v>5.4244600732420007</v>
      </c>
      <c r="L66">
        <f t="shared" si="6"/>
        <v>6.2585688966270744E-2</v>
      </c>
      <c r="Q66">
        <f t="shared" si="1"/>
        <v>3.0041130703809955</v>
      </c>
    </row>
    <row r="67" spans="1:17" x14ac:dyDescent="0.35">
      <c r="A67">
        <v>62</v>
      </c>
      <c r="B67">
        <f t="shared" si="2"/>
        <v>52.125891574703019</v>
      </c>
      <c r="C67">
        <f t="shared" si="3"/>
        <v>83.566512086163584</v>
      </c>
      <c r="D67">
        <f t="shared" si="4"/>
        <v>0.97170362890887885</v>
      </c>
      <c r="G67">
        <f t="shared" si="5"/>
        <v>6.8868145156355158</v>
      </c>
      <c r="L67">
        <f t="shared" si="6"/>
        <v>3.5880536932143786E-3</v>
      </c>
      <c r="Q67">
        <f t="shared" si="1"/>
        <v>0.17222657727429017</v>
      </c>
    </row>
    <row r="68" spans="1:17" x14ac:dyDescent="0.35">
      <c r="A68">
        <v>63</v>
      </c>
      <c r="B68">
        <f t="shared" si="2"/>
        <v>83.566512086163584</v>
      </c>
      <c r="C68">
        <f t="shared" si="3"/>
        <v>51.049304387736129</v>
      </c>
      <c r="D68">
        <f t="shared" si="4"/>
        <v>0.59359656264809457</v>
      </c>
      <c r="G68">
        <f t="shared" si="5"/>
        <v>5.3743862505923783</v>
      </c>
      <c r="L68">
        <f t="shared" si="6"/>
        <v>6.5194422229113078E-2</v>
      </c>
      <c r="Q68">
        <f t="shared" si="1"/>
        <v>3.1293322669974275</v>
      </c>
    </row>
    <row r="69" spans="1:17" x14ac:dyDescent="0.35">
      <c r="A69">
        <v>64</v>
      </c>
      <c r="B69">
        <f t="shared" si="2"/>
        <v>51.049304387736129</v>
      </c>
      <c r="C69">
        <f t="shared" si="3"/>
        <v>78.721869744812579</v>
      </c>
      <c r="D69">
        <f t="shared" si="4"/>
        <v>0.91537057842805325</v>
      </c>
      <c r="G69">
        <f t="shared" si="5"/>
        <v>6.661482313712213</v>
      </c>
      <c r="L69">
        <f t="shared" si="6"/>
        <v>1.1053286493998692E-2</v>
      </c>
      <c r="Q69">
        <f t="shared" si="1"/>
        <v>0.5305577517119372</v>
      </c>
    </row>
    <row r="70" spans="1:17" x14ac:dyDescent="0.35">
      <c r="A70">
        <v>65</v>
      </c>
      <c r="B70">
        <f t="shared" si="2"/>
        <v>78.721869744812579</v>
      </c>
      <c r="C70">
        <f t="shared" si="3"/>
        <v>29.248413851656608</v>
      </c>
      <c r="D70">
        <f t="shared" si="4"/>
        <v>0.34009783548437916</v>
      </c>
      <c r="G70">
        <f t="shared" si="5"/>
        <v>4.3603913419375164</v>
      </c>
      <c r="L70">
        <f t="shared" ref="L70:L105" si="7">-(LN(D70)/8)</f>
        <v>0.13481524391747329</v>
      </c>
      <c r="Q70">
        <f t="shared" si="1"/>
        <v>6.4711317080387181</v>
      </c>
    </row>
    <row r="71" spans="1:17" x14ac:dyDescent="0.35">
      <c r="A71">
        <v>66</v>
      </c>
      <c r="B71">
        <f t="shared" si="2"/>
        <v>29.248413851656608</v>
      </c>
      <c r="C71">
        <f t="shared" si="3"/>
        <v>67.617862332454735</v>
      </c>
      <c r="D71">
        <f t="shared" si="4"/>
        <v>0.78625421316807831</v>
      </c>
      <c r="G71">
        <f t="shared" si="5"/>
        <v>6.1450168526723132</v>
      </c>
      <c r="L71">
        <f t="shared" si="7"/>
        <v>3.0059389052686229E-2</v>
      </c>
      <c r="Q71">
        <f t="shared" ref="Q71:Q105" si="8">-2*3*LN(D71)</f>
        <v>1.4428506745289389</v>
      </c>
    </row>
    <row r="72" spans="1:17" x14ac:dyDescent="0.35">
      <c r="A72">
        <v>67</v>
      </c>
      <c r="B72">
        <f t="shared" ref="B72:B105" si="9">C71</f>
        <v>67.617862332454735</v>
      </c>
      <c r="C72">
        <f t="shared" ref="C72:C105" si="10">MOD(($C$2*B72+$F$2),$I$2)</f>
        <v>66.280380496046291</v>
      </c>
      <c r="D72">
        <f t="shared" ref="D72:D105" si="11">C72/($I$2-1)</f>
        <v>0.77070209879123597</v>
      </c>
      <c r="G72">
        <f t="shared" ref="G72:G105" si="12">(7-3)*D72+3</f>
        <v>6.0828083951649443</v>
      </c>
      <c r="L72">
        <f t="shared" si="7"/>
        <v>3.2556670371831839E-2</v>
      </c>
      <c r="Q72">
        <f t="shared" si="8"/>
        <v>1.5627201778479283</v>
      </c>
    </row>
    <row r="73" spans="1:17" x14ac:dyDescent="0.35">
      <c r="A73">
        <v>68</v>
      </c>
      <c r="B73">
        <f t="shared" si="9"/>
        <v>66.280380496046291</v>
      </c>
      <c r="C73">
        <f t="shared" si="10"/>
        <v>60.261712232208311</v>
      </c>
      <c r="D73">
        <f t="shared" si="11"/>
        <v>0.70071758409544549</v>
      </c>
      <c r="G73">
        <f t="shared" si="12"/>
        <v>5.8028703363817815</v>
      </c>
      <c r="L73">
        <f t="shared" si="7"/>
        <v>4.4456293609901845E-2</v>
      </c>
      <c r="Q73">
        <f t="shared" si="8"/>
        <v>2.1339020932752888</v>
      </c>
    </row>
    <row r="74" spans="1:17" x14ac:dyDescent="0.35">
      <c r="A74">
        <v>69</v>
      </c>
      <c r="B74">
        <f t="shared" si="9"/>
        <v>60.261712232208311</v>
      </c>
      <c r="C74">
        <f t="shared" si="10"/>
        <v>33.177705044937397</v>
      </c>
      <c r="D74">
        <f t="shared" si="11"/>
        <v>0.38578726796438834</v>
      </c>
      <c r="G74">
        <f t="shared" si="12"/>
        <v>4.5431490718575533</v>
      </c>
      <c r="L74">
        <f t="shared" si="7"/>
        <v>0.11905864758782383</v>
      </c>
      <c r="Q74">
        <f t="shared" si="8"/>
        <v>5.7148150842155445</v>
      </c>
    </row>
    <row r="75" spans="1:17" x14ac:dyDescent="0.35">
      <c r="A75">
        <v>70</v>
      </c>
      <c r="B75">
        <f t="shared" si="9"/>
        <v>33.177705044937397</v>
      </c>
      <c r="C75">
        <f t="shared" si="10"/>
        <v>85.299672702218288</v>
      </c>
      <c r="D75">
        <f t="shared" si="11"/>
        <v>0.99185665932811962</v>
      </c>
      <c r="G75">
        <f t="shared" si="12"/>
        <v>6.967426637312478</v>
      </c>
      <c r="L75">
        <f t="shared" si="7"/>
        <v>1.0220848478688692E-3</v>
      </c>
      <c r="Q75">
        <f t="shared" si="8"/>
        <v>4.9060072697705723E-2</v>
      </c>
    </row>
    <row r="76" spans="1:17" x14ac:dyDescent="0.35">
      <c r="A76">
        <v>71</v>
      </c>
      <c r="B76">
        <f t="shared" si="9"/>
        <v>85.299672702218288</v>
      </c>
      <c r="C76">
        <f t="shared" si="10"/>
        <v>58.848527159982268</v>
      </c>
      <c r="D76">
        <f t="shared" si="11"/>
        <v>0.68428519953467759</v>
      </c>
      <c r="G76">
        <f t="shared" si="12"/>
        <v>5.7371407981387108</v>
      </c>
      <c r="L76">
        <f t="shared" si="7"/>
        <v>4.7422561234818278E-2</v>
      </c>
      <c r="Q76">
        <f t="shared" si="8"/>
        <v>2.2762829392712773</v>
      </c>
    </row>
    <row r="77" spans="1:17" x14ac:dyDescent="0.35">
      <c r="A77">
        <v>72</v>
      </c>
      <c r="B77">
        <f t="shared" si="9"/>
        <v>58.848527159982268</v>
      </c>
      <c r="C77">
        <f t="shared" si="10"/>
        <v>26.818372219920207</v>
      </c>
      <c r="D77">
        <f t="shared" si="11"/>
        <v>0.31184153744093263</v>
      </c>
      <c r="G77">
        <f t="shared" si="12"/>
        <v>4.2473661497637307</v>
      </c>
      <c r="L77">
        <f t="shared" si="7"/>
        <v>0.14565751412642791</v>
      </c>
      <c r="Q77">
        <f t="shared" si="8"/>
        <v>6.9915606780685398</v>
      </c>
    </row>
    <row r="78" spans="1:17" x14ac:dyDescent="0.35">
      <c r="A78">
        <v>73</v>
      </c>
      <c r="B78">
        <f t="shared" si="9"/>
        <v>26.818372219920207</v>
      </c>
      <c r="C78">
        <f t="shared" si="10"/>
        <v>56.68267498964093</v>
      </c>
      <c r="D78">
        <f t="shared" si="11"/>
        <v>0.65910087197256895</v>
      </c>
      <c r="G78">
        <f t="shared" si="12"/>
        <v>5.6364034878902753</v>
      </c>
      <c r="L78">
        <f t="shared" si="7"/>
        <v>5.2109835993715332E-2</v>
      </c>
      <c r="Q78">
        <f t="shared" si="8"/>
        <v>2.5012721276983361</v>
      </c>
    </row>
    <row r="79" spans="1:17" x14ac:dyDescent="0.35">
      <c r="A79">
        <v>74</v>
      </c>
      <c r="B79">
        <f t="shared" si="9"/>
        <v>56.68267498964093</v>
      </c>
      <c r="C79">
        <f t="shared" si="10"/>
        <v>17.072037453384155</v>
      </c>
      <c r="D79">
        <f t="shared" si="11"/>
        <v>0.19851206341144367</v>
      </c>
      <c r="G79">
        <f t="shared" si="12"/>
        <v>3.7940482536457747</v>
      </c>
      <c r="L79">
        <f t="shared" si="7"/>
        <v>0.2021131759809833</v>
      </c>
      <c r="Q79">
        <f t="shared" si="8"/>
        <v>9.701432447087198</v>
      </c>
    </row>
    <row r="80" spans="1:17" x14ac:dyDescent="0.35">
      <c r="A80">
        <v>75</v>
      </c>
      <c r="B80">
        <f t="shared" si="9"/>
        <v>17.072037453384155</v>
      </c>
      <c r="C80">
        <f t="shared" si="10"/>
        <v>12.824168540228698</v>
      </c>
      <c r="D80">
        <f t="shared" si="11"/>
        <v>0.14911823883986858</v>
      </c>
      <c r="G80">
        <f t="shared" si="12"/>
        <v>3.5964729553594745</v>
      </c>
      <c r="L80">
        <f t="shared" si="7"/>
        <v>0.23787696730869468</v>
      </c>
      <c r="Q80">
        <f t="shared" si="8"/>
        <v>11.418094430817344</v>
      </c>
    </row>
    <row r="81" spans="1:17" x14ac:dyDescent="0.35">
      <c r="A81">
        <v>76</v>
      </c>
      <c r="B81">
        <f t="shared" si="9"/>
        <v>12.824168540228698</v>
      </c>
      <c r="C81">
        <f t="shared" si="10"/>
        <v>80.708758431029139</v>
      </c>
      <c r="D81">
        <f t="shared" si="11"/>
        <v>0.93847393524452483</v>
      </c>
      <c r="G81">
        <f t="shared" si="12"/>
        <v>6.7538957409780993</v>
      </c>
      <c r="L81">
        <f t="shared" si="7"/>
        <v>7.937524515348033E-3</v>
      </c>
      <c r="Q81">
        <f t="shared" si="8"/>
        <v>0.38100117673670558</v>
      </c>
    </row>
    <row r="82" spans="1:17" x14ac:dyDescent="0.35">
      <c r="A82">
        <v>77</v>
      </c>
      <c r="B82">
        <f t="shared" si="9"/>
        <v>80.708758431029139</v>
      </c>
      <c r="C82">
        <f t="shared" si="10"/>
        <v>38.189412939631097</v>
      </c>
      <c r="D82">
        <f t="shared" si="11"/>
        <v>0.44406294115850115</v>
      </c>
      <c r="G82">
        <f t="shared" si="12"/>
        <v>4.7762517646340044</v>
      </c>
      <c r="L82">
        <f t="shared" si="7"/>
        <v>0.10147362090385352</v>
      </c>
      <c r="Q82">
        <f t="shared" si="8"/>
        <v>4.8707338033849688</v>
      </c>
    </row>
    <row r="83" spans="1:17" x14ac:dyDescent="0.35">
      <c r="A83">
        <v>78</v>
      </c>
      <c r="B83">
        <f t="shared" si="9"/>
        <v>38.189412939631097</v>
      </c>
      <c r="C83">
        <f t="shared" si="10"/>
        <v>20.852358228339938</v>
      </c>
      <c r="D83">
        <f t="shared" si="11"/>
        <v>0.242469281724883</v>
      </c>
      <c r="G83">
        <f t="shared" si="12"/>
        <v>3.9698771268995321</v>
      </c>
      <c r="L83">
        <f t="shared" si="7"/>
        <v>0.17711003124097385</v>
      </c>
      <c r="Q83">
        <f t="shared" si="8"/>
        <v>8.5012814995667441</v>
      </c>
    </row>
    <row r="84" spans="1:17" x14ac:dyDescent="0.35">
      <c r="A84">
        <v>79</v>
      </c>
      <c r="B84">
        <f t="shared" si="9"/>
        <v>20.852358228339938</v>
      </c>
      <c r="C84">
        <f t="shared" si="10"/>
        <v>29.83561202752972</v>
      </c>
      <c r="D84">
        <f t="shared" si="11"/>
        <v>0.3469257212503456</v>
      </c>
      <c r="G84">
        <f t="shared" si="12"/>
        <v>4.3877028850013824</v>
      </c>
      <c r="L84">
        <f t="shared" si="7"/>
        <v>0.13233057271832765</v>
      </c>
      <c r="Q84">
        <f t="shared" si="8"/>
        <v>6.3518674904797274</v>
      </c>
    </row>
    <row r="85" spans="1:17" x14ac:dyDescent="0.35">
      <c r="A85">
        <v>80</v>
      </c>
      <c r="B85">
        <f t="shared" si="9"/>
        <v>29.83561202752972</v>
      </c>
      <c r="C85">
        <f t="shared" si="10"/>
        <v>70.260254123883726</v>
      </c>
      <c r="D85">
        <f t="shared" si="11"/>
        <v>0.81697969911492707</v>
      </c>
      <c r="G85">
        <f t="shared" si="12"/>
        <v>6.2679187964597087</v>
      </c>
      <c r="L85">
        <f t="shared" si="7"/>
        <v>2.5267629064424691E-2</v>
      </c>
      <c r="Q85">
        <f t="shared" si="8"/>
        <v>1.2128461950923852</v>
      </c>
    </row>
    <row r="86" spans="1:17" x14ac:dyDescent="0.35">
      <c r="A86">
        <v>81</v>
      </c>
      <c r="B86">
        <f t="shared" si="9"/>
        <v>70.260254123883726</v>
      </c>
      <c r="C86">
        <f t="shared" si="10"/>
        <v>78.171143557476739</v>
      </c>
      <c r="D86">
        <f t="shared" si="11"/>
        <v>0.90896678555205512</v>
      </c>
      <c r="G86">
        <f t="shared" si="12"/>
        <v>6.6358671422082205</v>
      </c>
      <c r="L86">
        <f t="shared" si="7"/>
        <v>1.1930840627367219E-2</v>
      </c>
      <c r="Q86">
        <f t="shared" si="8"/>
        <v>0.5726803501136265</v>
      </c>
    </row>
    <row r="87" spans="1:17" x14ac:dyDescent="0.35">
      <c r="A87">
        <v>82</v>
      </c>
      <c r="B87">
        <f t="shared" si="9"/>
        <v>78.171143557476739</v>
      </c>
      <c r="C87">
        <f t="shared" si="10"/>
        <v>26.770146008645327</v>
      </c>
      <c r="D87">
        <f t="shared" si="11"/>
        <v>0.31128076754238754</v>
      </c>
      <c r="G87">
        <f t="shared" si="12"/>
        <v>4.2451230701695497</v>
      </c>
      <c r="L87">
        <f t="shared" si="7"/>
        <v>0.14588249806836301</v>
      </c>
      <c r="Q87">
        <f t="shared" si="8"/>
        <v>7.0023599072814244</v>
      </c>
    </row>
    <row r="88" spans="1:17" x14ac:dyDescent="0.35">
      <c r="A88">
        <v>83</v>
      </c>
      <c r="B88">
        <f t="shared" si="9"/>
        <v>26.770146008645327</v>
      </c>
      <c r="C88">
        <f t="shared" si="10"/>
        <v>56.46565703890397</v>
      </c>
      <c r="D88">
        <f t="shared" si="11"/>
        <v>0.65657740742911597</v>
      </c>
      <c r="G88">
        <f t="shared" si="12"/>
        <v>5.6263096297164639</v>
      </c>
      <c r="L88">
        <f t="shared" si="7"/>
        <v>5.2589335366268669E-2</v>
      </c>
      <c r="Q88">
        <f t="shared" si="8"/>
        <v>2.5242880975808961</v>
      </c>
    </row>
    <row r="89" spans="1:17" x14ac:dyDescent="0.35">
      <c r="A89">
        <v>84</v>
      </c>
      <c r="B89">
        <f t="shared" si="9"/>
        <v>56.46565703890397</v>
      </c>
      <c r="C89">
        <f t="shared" si="10"/>
        <v>16.095456675067851</v>
      </c>
      <c r="D89">
        <f t="shared" si="11"/>
        <v>0.18715647296590524</v>
      </c>
      <c r="G89">
        <f t="shared" si="12"/>
        <v>3.7486258918636208</v>
      </c>
      <c r="L89">
        <f t="shared" si="7"/>
        <v>0.20947628227281262</v>
      </c>
      <c r="Q89">
        <f t="shared" si="8"/>
        <v>10.054861549095005</v>
      </c>
    </row>
    <row r="90" spans="1:17" x14ac:dyDescent="0.35">
      <c r="A90">
        <v>85</v>
      </c>
      <c r="B90">
        <f t="shared" si="9"/>
        <v>16.095456675067851</v>
      </c>
      <c r="C90">
        <f t="shared" si="10"/>
        <v>8.4295550378053292</v>
      </c>
      <c r="D90">
        <f t="shared" si="11"/>
        <v>9.8018081834945689E-2</v>
      </c>
      <c r="G90">
        <f t="shared" si="12"/>
        <v>3.3920723273397826</v>
      </c>
      <c r="L90">
        <f t="shared" si="7"/>
        <v>0.29032541360141434</v>
      </c>
      <c r="Q90">
        <f t="shared" si="8"/>
        <v>13.935619852867887</v>
      </c>
    </row>
    <row r="91" spans="1:17" x14ac:dyDescent="0.35">
      <c r="A91">
        <v>86</v>
      </c>
      <c r="B91">
        <f t="shared" si="9"/>
        <v>8.4295550378053292</v>
      </c>
      <c r="C91">
        <f t="shared" si="10"/>
        <v>60.932997670123981</v>
      </c>
      <c r="D91">
        <f t="shared" si="11"/>
        <v>0.70852322872237183</v>
      </c>
      <c r="G91">
        <f t="shared" si="12"/>
        <v>5.8340929148894869</v>
      </c>
      <c r="L91">
        <f t="shared" si="7"/>
        <v>4.3071554326592085E-2</v>
      </c>
      <c r="Q91">
        <f t="shared" si="8"/>
        <v>2.0674346076764198</v>
      </c>
    </row>
    <row r="92" spans="1:17" x14ac:dyDescent="0.35">
      <c r="A92">
        <v>87</v>
      </c>
      <c r="B92">
        <f t="shared" si="9"/>
        <v>60.932997670123981</v>
      </c>
      <c r="C92">
        <f t="shared" si="10"/>
        <v>36.198489515557924</v>
      </c>
      <c r="D92">
        <f t="shared" si="11"/>
        <v>0.42091266878555728</v>
      </c>
      <c r="G92">
        <f t="shared" si="12"/>
        <v>4.6836506751422293</v>
      </c>
      <c r="L92">
        <f t="shared" si="7"/>
        <v>0.10816623804773749</v>
      </c>
      <c r="Q92">
        <f t="shared" si="8"/>
        <v>5.1919794262913994</v>
      </c>
    </row>
    <row r="93" spans="1:17" x14ac:dyDescent="0.35">
      <c r="A93">
        <v>88</v>
      </c>
      <c r="B93">
        <f t="shared" si="9"/>
        <v>36.198489515557924</v>
      </c>
      <c r="C93">
        <f t="shared" si="10"/>
        <v>11.893202820010657</v>
      </c>
      <c r="D93">
        <f t="shared" si="11"/>
        <v>0.13829305604663555</v>
      </c>
      <c r="G93">
        <f t="shared" si="12"/>
        <v>3.5531722241865422</v>
      </c>
      <c r="L93">
        <f t="shared" si="7"/>
        <v>0.24729753136547902</v>
      </c>
      <c r="Q93">
        <f t="shared" si="8"/>
        <v>11.870281505542993</v>
      </c>
    </row>
    <row r="94" spans="1:17" x14ac:dyDescent="0.35">
      <c r="A94">
        <v>89</v>
      </c>
      <c r="B94">
        <f t="shared" si="9"/>
        <v>11.893202820010657</v>
      </c>
      <c r="C94">
        <f t="shared" si="10"/>
        <v>76.519412690047957</v>
      </c>
      <c r="D94">
        <f t="shared" si="11"/>
        <v>0.8897606126749763</v>
      </c>
      <c r="G94">
        <f t="shared" si="12"/>
        <v>6.5590424506999057</v>
      </c>
      <c r="L94">
        <f t="shared" si="7"/>
        <v>1.4600353369823097E-2</v>
      </c>
      <c r="Q94">
        <f t="shared" si="8"/>
        <v>0.70081696175150865</v>
      </c>
    </row>
    <row r="95" spans="1:17" x14ac:dyDescent="0.35">
      <c r="A95">
        <v>90</v>
      </c>
      <c r="B95">
        <f t="shared" si="9"/>
        <v>76.519412690047957</v>
      </c>
      <c r="C95">
        <f t="shared" si="10"/>
        <v>19.337357105215801</v>
      </c>
      <c r="D95">
        <f t="shared" si="11"/>
        <v>0.22485298959553257</v>
      </c>
      <c r="G95">
        <f t="shared" si="12"/>
        <v>3.8994119583821303</v>
      </c>
      <c r="L95">
        <f t="shared" si="7"/>
        <v>0.18653855873732314</v>
      </c>
      <c r="Q95">
        <f t="shared" si="8"/>
        <v>8.9538508193915103</v>
      </c>
    </row>
    <row r="96" spans="1:17" x14ac:dyDescent="0.35">
      <c r="A96">
        <v>91</v>
      </c>
      <c r="B96">
        <f t="shared" si="9"/>
        <v>19.337357105215801</v>
      </c>
      <c r="C96">
        <f t="shared" si="10"/>
        <v>23.018106973471106</v>
      </c>
      <c r="D96">
        <f t="shared" si="11"/>
        <v>0.26765240666826867</v>
      </c>
      <c r="G96">
        <f t="shared" si="12"/>
        <v>4.0706096266730745</v>
      </c>
      <c r="L96">
        <f t="shared" si="7"/>
        <v>0.16475826629182591</v>
      </c>
      <c r="Q96">
        <f t="shared" si="8"/>
        <v>7.9083967820076442</v>
      </c>
    </row>
    <row r="97" spans="1:17" x14ac:dyDescent="0.35">
      <c r="A97">
        <v>92</v>
      </c>
      <c r="B97">
        <f t="shared" si="9"/>
        <v>23.018106973471106</v>
      </c>
      <c r="C97">
        <f t="shared" si="10"/>
        <v>39.581481380619977</v>
      </c>
      <c r="D97">
        <f t="shared" si="11"/>
        <v>0.4602497834955811</v>
      </c>
      <c r="G97">
        <f t="shared" si="12"/>
        <v>4.840999133982324</v>
      </c>
      <c r="L97">
        <f t="shared" si="7"/>
        <v>9.6998241159398146E-2</v>
      </c>
      <c r="Q97">
        <f t="shared" si="8"/>
        <v>4.655915575651111</v>
      </c>
    </row>
    <row r="98" spans="1:17" x14ac:dyDescent="0.35">
      <c r="A98">
        <v>93</v>
      </c>
      <c r="B98">
        <f t="shared" si="9"/>
        <v>39.581481380619977</v>
      </c>
      <c r="C98">
        <f t="shared" si="10"/>
        <v>27.11666621278988</v>
      </c>
      <c r="D98">
        <f t="shared" si="11"/>
        <v>0.31531007224174279</v>
      </c>
      <c r="G98">
        <f t="shared" si="12"/>
        <v>4.2612402889669712</v>
      </c>
      <c r="L98">
        <f t="shared" si="7"/>
        <v>0.14427484599931223</v>
      </c>
      <c r="Q98">
        <f t="shared" si="8"/>
        <v>6.925192607966987</v>
      </c>
    </row>
    <row r="99" spans="1:17" x14ac:dyDescent="0.35">
      <c r="A99">
        <v>94</v>
      </c>
      <c r="B99">
        <f t="shared" si="9"/>
        <v>27.11666621278988</v>
      </c>
      <c r="C99">
        <f t="shared" si="10"/>
        <v>58.024997957554461</v>
      </c>
      <c r="D99">
        <f t="shared" si="11"/>
        <v>0.67470927857621465</v>
      </c>
      <c r="G99">
        <f t="shared" si="12"/>
        <v>5.6988371143048582</v>
      </c>
      <c r="L99">
        <f t="shared" si="7"/>
        <v>4.9184172411551715E-2</v>
      </c>
      <c r="Q99">
        <f t="shared" si="8"/>
        <v>2.3608402757544824</v>
      </c>
    </row>
    <row r="100" spans="1:17" x14ac:dyDescent="0.35">
      <c r="A100">
        <v>95</v>
      </c>
      <c r="B100">
        <f t="shared" si="9"/>
        <v>58.024997957554461</v>
      </c>
      <c r="C100">
        <f t="shared" si="10"/>
        <v>23.112490808995062</v>
      </c>
      <c r="D100">
        <f t="shared" si="11"/>
        <v>0.26874989312784958</v>
      </c>
      <c r="G100">
        <f t="shared" si="12"/>
        <v>4.0749995725113983</v>
      </c>
      <c r="L100">
        <f t="shared" si="7"/>
        <v>0.16424676215051989</v>
      </c>
      <c r="Q100">
        <f t="shared" si="8"/>
        <v>7.8838445832249544</v>
      </c>
    </row>
    <row r="101" spans="1:17" x14ac:dyDescent="0.35">
      <c r="A101">
        <v>96</v>
      </c>
      <c r="B101">
        <f t="shared" si="9"/>
        <v>23.112490808995062</v>
      </c>
      <c r="C101">
        <f t="shared" si="10"/>
        <v>40.00620864047778</v>
      </c>
      <c r="D101">
        <f t="shared" si="11"/>
        <v>0.46518847256369511</v>
      </c>
      <c r="G101">
        <f t="shared" si="12"/>
        <v>4.8607538902547809</v>
      </c>
      <c r="L101">
        <f t="shared" si="7"/>
        <v>9.5664079771548227E-2</v>
      </c>
      <c r="Q101">
        <f t="shared" si="8"/>
        <v>4.5918758290343149</v>
      </c>
    </row>
    <row r="102" spans="1:17" x14ac:dyDescent="0.35">
      <c r="A102">
        <v>97</v>
      </c>
      <c r="B102">
        <f t="shared" si="9"/>
        <v>40.00620864047778</v>
      </c>
      <c r="C102">
        <f t="shared" si="10"/>
        <v>29.027938882150011</v>
      </c>
      <c r="D102">
        <f t="shared" si="11"/>
        <v>0.33753417304825595</v>
      </c>
      <c r="G102">
        <f t="shared" si="12"/>
        <v>4.3501366921930238</v>
      </c>
      <c r="L102">
        <f t="shared" si="7"/>
        <v>0.13576106503987823</v>
      </c>
      <c r="Q102">
        <f t="shared" si="8"/>
        <v>6.5165311219141548</v>
      </c>
    </row>
    <row r="103" spans="1:17" x14ac:dyDescent="0.35">
      <c r="A103">
        <v>98</v>
      </c>
      <c r="B103">
        <f t="shared" si="9"/>
        <v>29.027938882150011</v>
      </c>
      <c r="C103">
        <f t="shared" si="10"/>
        <v>66.625724969675048</v>
      </c>
      <c r="D103">
        <f t="shared" si="11"/>
        <v>0.77471773220552376</v>
      </c>
      <c r="G103">
        <f t="shared" si="12"/>
        <v>6.0988709288220946</v>
      </c>
      <c r="L103">
        <f t="shared" si="7"/>
        <v>3.1907066560091707E-2</v>
      </c>
      <c r="Q103">
        <f t="shared" si="8"/>
        <v>1.5315391948844019</v>
      </c>
    </row>
    <row r="104" spans="1:17" x14ac:dyDescent="0.35">
      <c r="A104">
        <v>99</v>
      </c>
      <c r="B104">
        <f t="shared" si="9"/>
        <v>66.625724969675048</v>
      </c>
      <c r="C104">
        <f t="shared" si="10"/>
        <v>61.815762363537715</v>
      </c>
      <c r="D104">
        <f t="shared" si="11"/>
        <v>0.71878793445974087</v>
      </c>
      <c r="G104">
        <f t="shared" si="12"/>
        <v>5.8751517378389639</v>
      </c>
      <c r="L104">
        <f t="shared" si="7"/>
        <v>4.1273613735567073E-2</v>
      </c>
      <c r="Q104">
        <f t="shared" si="8"/>
        <v>1.9811334593072196</v>
      </c>
    </row>
    <row r="105" spans="1:17" x14ac:dyDescent="0.35">
      <c r="A105">
        <v>100</v>
      </c>
      <c r="B105">
        <f t="shared" si="9"/>
        <v>61.815762363537715</v>
      </c>
      <c r="C105">
        <f t="shared" si="10"/>
        <v>40.170930635919717</v>
      </c>
      <c r="D105">
        <f t="shared" si="11"/>
        <v>0.46710384460371762</v>
      </c>
      <c r="G105">
        <f t="shared" si="12"/>
        <v>4.8684153784148707</v>
      </c>
      <c r="L105">
        <f t="shared" si="7"/>
        <v>9.5150460089286196E-2</v>
      </c>
      <c r="Q105">
        <f t="shared" si="8"/>
        <v>4.5672220842857376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VSTA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Дарья Алексеева</cp:lastModifiedBy>
  <dcterms:created xsi:type="dcterms:W3CDTF">2001-12-31T20:05:32Z</dcterms:created>
  <dcterms:modified xsi:type="dcterms:W3CDTF">2025-10-06T20:45:25Z</dcterms:modified>
</cp:coreProperties>
</file>